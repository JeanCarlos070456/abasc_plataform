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IMPLENTES" sheetId="1" r:id="rId4"/>
    <sheet state="visible" name="FALTA DE PAGAMENTO" sheetId="2" r:id="rId5"/>
    <sheet state="visible" name="INADIMPLENTES" sheetId="3" r:id="rId6"/>
    <sheet state="visible" name="NÃO CONCLUINTE" sheetId="4" r:id="rId7"/>
    <sheet state="visible" name="VOLUTÁRIOS" sheetId="5" r:id="rId8"/>
    <sheet state="visible" name="DIRETORIA" sheetId="6" r:id="rId9"/>
    <sheet state="hidden" name="ASSOCIADOS ATIVOS" sheetId="7" r:id="rId10"/>
  </sheets>
  <definedNames>
    <definedName hidden="1" localSheetId="0" name="_xlnm._FilterDatabase">ADIMPLENTES!$A$2:$AC$89</definedName>
  </definedNames>
  <calcPr/>
  <extLst>
    <ext uri="GoogleSheetsCustomDataVersion2">
      <go:sheetsCustomData xmlns:go="http://customooxmlschemas.google.com/" r:id="rId11" roundtripDataChecksum="hPCIjAmmMnWRu6ttJAeUJ421444P3DKo71b4ihR+8Kw="/>
    </ext>
  </extLst>
</workbook>
</file>

<file path=xl/sharedStrings.xml><?xml version="1.0" encoding="utf-8"?>
<sst xmlns="http://schemas.openxmlformats.org/spreadsheetml/2006/main" count="1873" uniqueCount="715">
  <si>
    <t>MATRÍCULA</t>
  </si>
  <si>
    <t xml:space="preserve"> </t>
  </si>
  <si>
    <t>NOME COMPLETO</t>
  </si>
  <si>
    <t>TOTAL DE ASSOCIADOS PLENOS</t>
  </si>
  <si>
    <t>DATA DE NASCIMENTO</t>
  </si>
  <si>
    <t>CPF</t>
  </si>
  <si>
    <t>SEXO</t>
  </si>
  <si>
    <t xml:space="preserve">Municipio </t>
  </si>
  <si>
    <t>MUNICÍPIO DE RESIDÊNCIA</t>
  </si>
  <si>
    <t>UF</t>
  </si>
  <si>
    <t>email</t>
  </si>
  <si>
    <t>TELEFONE</t>
  </si>
  <si>
    <t>E-MAIL DE CONTATO</t>
  </si>
  <si>
    <t>NÍVEL DE ESCOLARIDADE</t>
  </si>
  <si>
    <t>CATEGORIA</t>
  </si>
  <si>
    <t xml:space="preserve">CATEGORIA </t>
  </si>
  <si>
    <t xml:space="preserve">UNIVERSIDADE/FACULDADE DE CONCLUSÃO DA GRADUAÇÃO </t>
  </si>
  <si>
    <t>NÃO CONCLUIU</t>
  </si>
  <si>
    <t>INADIMPLENTE</t>
  </si>
  <si>
    <t>ANELISE TEIXEIRA BURMEISTER</t>
  </si>
  <si>
    <t>MARYA ADELL MATOS PASSOS</t>
  </si>
  <si>
    <t>VALOR EM 365/366 DIAS ANO</t>
  </si>
  <si>
    <t>06851543516</t>
  </si>
  <si>
    <t>FEMININO</t>
  </si>
  <si>
    <t>Porto Alegre</t>
  </si>
  <si>
    <t>RS</t>
  </si>
  <si>
    <t xml:space="preserve">Salvador </t>
  </si>
  <si>
    <t>aneburmeister@gmail.com</t>
  </si>
  <si>
    <t>BA</t>
  </si>
  <si>
    <t>Graduação</t>
  </si>
  <si>
    <t>MARYA.MATOS@OUTLOOK.COM</t>
  </si>
  <si>
    <t>ASSOCIADO VOLUNTÁRIO</t>
  </si>
  <si>
    <t>UNIVERSIDADE FEDERAL DO RIO GRANDE DO SUL-UFRGS</t>
  </si>
  <si>
    <t>ASSOCIADO JÚNIOR</t>
  </si>
  <si>
    <t>ARTENIZIA DA SILVA BARRETO</t>
  </si>
  <si>
    <t>Inajara Cagliari Fernandes</t>
  </si>
  <si>
    <t>TEFE</t>
  </si>
  <si>
    <t>02063531030</t>
  </si>
  <si>
    <t>AM</t>
  </si>
  <si>
    <t>arteniziabarreto.gata@gmail.com</t>
  </si>
  <si>
    <t xml:space="preserve">Porto Alegre </t>
  </si>
  <si>
    <t>ASSOCIADO PLENO</t>
  </si>
  <si>
    <t>FALTA PAGAMENTO</t>
  </si>
  <si>
    <t>UNIVERSIDADO DO ESTADO DO AMAZONAS-UEA - ASSOCIADO PLENO</t>
  </si>
  <si>
    <t>inajara.fernandes@ufrgs.br</t>
  </si>
  <si>
    <t>ADRIANA QUEIROZ DE CAMPOS</t>
  </si>
  <si>
    <t>GUILHERME LEMOS BATISTA</t>
  </si>
  <si>
    <t>01146961014</t>
  </si>
  <si>
    <t>VENCIMENTO ANUIDADE</t>
  </si>
  <si>
    <t>BÁRBARA BULHÕES LOPES DE ANDRADE</t>
  </si>
  <si>
    <t>MASCULINO</t>
  </si>
  <si>
    <t>CUIABÁ</t>
  </si>
  <si>
    <t>DIAS FALTANTES PARA VENCIMENTO</t>
  </si>
  <si>
    <t>Nova Prata</t>
  </si>
  <si>
    <t>1º LEMBRETE DE RENOVAÇÃO</t>
  </si>
  <si>
    <t>MT</t>
  </si>
  <si>
    <t>2º LEMBRETE DE RENOVAÇÃO</t>
  </si>
  <si>
    <t>3º LEMBRETE DE RENOVAÇÃO</t>
  </si>
  <si>
    <t>adrianaqueirozdecampos@gmail.com</t>
  </si>
  <si>
    <t>guilhermelemos.batista@gmail.com</t>
  </si>
  <si>
    <t>09799277736</t>
  </si>
  <si>
    <t>Pós-Graduação (Especialização)</t>
  </si>
  <si>
    <t xml:space="preserve">oBSERVAÇÕES </t>
  </si>
  <si>
    <t xml:space="preserve">RIO DE JANEIRO </t>
  </si>
  <si>
    <t>Universidade Federal do Rio Grande do Sul - UFRGS</t>
  </si>
  <si>
    <t>UNIVERSIDADE FEDERAL DO MATO GROSSO-UFMT</t>
  </si>
  <si>
    <t>RJ</t>
  </si>
  <si>
    <t>barbarabulhoes@gmail.com</t>
  </si>
  <si>
    <t>(21)999340016</t>
  </si>
  <si>
    <t>ANA CAROLINA SANTANA FRANÇA</t>
  </si>
  <si>
    <t>LEANDRO ALVES DA LUZ</t>
  </si>
  <si>
    <t>026.249.985-19</t>
  </si>
  <si>
    <t xml:space="preserve">Brasilia </t>
  </si>
  <si>
    <t xml:space="preserve">LIMOEIRO </t>
  </si>
  <si>
    <t>DF</t>
  </si>
  <si>
    <t>PE</t>
  </si>
  <si>
    <t>ADIMPLENTE</t>
  </si>
  <si>
    <t>carolinaa526@gmail.com</t>
  </si>
  <si>
    <t>ANDRÉA VILLAS BÔAS MELLO</t>
  </si>
  <si>
    <t>(71) 99282-7213</t>
  </si>
  <si>
    <t>566.612.070-00</t>
  </si>
  <si>
    <t>UNIVERSIDADE FEDERAL DE PERNAMBUCO - UFPE</t>
  </si>
  <si>
    <t>AKENI LOBO COELHO</t>
  </si>
  <si>
    <t>ANTONIO MARCOS DA SILVA SILVEIRA JUNIOR</t>
  </si>
  <si>
    <t>(51)99207-9661</t>
  </si>
  <si>
    <t>andrea.mellovillas@gmail.com</t>
  </si>
  <si>
    <t>BARRA DE GUABIRABA</t>
  </si>
  <si>
    <t>N/A</t>
  </si>
  <si>
    <t>UNIVERSIDADE FEDERAL DO RIO GRANDE DO SUL - UFRGS</t>
  </si>
  <si>
    <t>JUNIORLANCASS@GMAIL.COM</t>
  </si>
  <si>
    <t>ALDINIRO CAVALCANTE DA SILVA</t>
  </si>
  <si>
    <t>ASSOCIAÇÃO CARUARUENSE DE ENSINO SUPERIOR/CENTRO UNIVERSITÁRIO TABOSA DE ALMEIDA - ASCES-UNITA</t>
  </si>
  <si>
    <t>IASMIN OlLIVEIRA CARNEIRO</t>
  </si>
  <si>
    <t>PORTO ALEGRE</t>
  </si>
  <si>
    <t>AMRIT CARVALHO DE LIMA</t>
  </si>
  <si>
    <t>722.993.981-04</t>
  </si>
  <si>
    <t>iasmin.oc@live.com</t>
  </si>
  <si>
    <t>(61) 99982-2480</t>
  </si>
  <si>
    <t>UNIVERSIDADE FEDERAL DO RIO GRANDEO DO SUL- UFRGS</t>
  </si>
  <si>
    <t>LILIAN MARTINS IAHNKE</t>
  </si>
  <si>
    <t>ANALIA SAMANTA LOPEZ</t>
  </si>
  <si>
    <t>01432401025</t>
  </si>
  <si>
    <t>NOVO HAMBURGO</t>
  </si>
  <si>
    <t>+5551992873905</t>
  </si>
  <si>
    <t>lilian.iahnke@gmail.com</t>
  </si>
  <si>
    <t>PRISCILA CARVALHO DA COSTA</t>
  </si>
  <si>
    <t>ANDRÉ LUIS BARROSO DE LIMA</t>
  </si>
  <si>
    <t>03719302199</t>
  </si>
  <si>
    <t>Brasília</t>
  </si>
  <si>
    <t>CAROLINE GRAÇA PARENTE</t>
  </si>
  <si>
    <t>carvalhodacostap@gmail.com</t>
  </si>
  <si>
    <t>Pós-Graduação (Mestrado Profissional)</t>
  </si>
  <si>
    <t>BÁRBARA ESTEVAM FERREIRA SANTANA</t>
  </si>
  <si>
    <t>UNIVERSIDADE DE BRASILIA-UNB</t>
  </si>
  <si>
    <t>728.158.842-91</t>
  </si>
  <si>
    <t>RIO BRANCO</t>
  </si>
  <si>
    <t>AC</t>
  </si>
  <si>
    <t>CAROLINE DA SILVA DINIZ</t>
  </si>
  <si>
    <t xml:space="preserve">Rosangela Cristina Sousa Vara </t>
  </si>
  <si>
    <t>carolparente@seringal.com</t>
  </si>
  <si>
    <t>023.988.272-59</t>
  </si>
  <si>
    <t>UNIVERSIDADE FEDERAL DO ACRE - UFAC - ASSOCIADO PLENO</t>
  </si>
  <si>
    <t>EDIVAN BARBOZA CERQUEIRA</t>
  </si>
  <si>
    <t xml:space="preserve">Capanema </t>
  </si>
  <si>
    <t>PA</t>
  </si>
  <si>
    <t>(91) 98315-4963</t>
  </si>
  <si>
    <t>EMILY RAQUEL NUNES VIDAL</t>
  </si>
  <si>
    <t xml:space="preserve">Niety da Silva </t>
  </si>
  <si>
    <t>013.647.632-57</t>
  </si>
  <si>
    <t xml:space="preserve">Boa Vista </t>
  </si>
  <si>
    <t>RR</t>
  </si>
  <si>
    <t>(95) 99125-4516</t>
  </si>
  <si>
    <t>FRANCISCO ANTONIO DA SILVA</t>
  </si>
  <si>
    <t xml:space="preserve">Taynana Soares Oliveira Fequis </t>
  </si>
  <si>
    <t>664.003.504-97</t>
  </si>
  <si>
    <t>941.570.652-04</t>
  </si>
  <si>
    <t>Campo Grande</t>
  </si>
  <si>
    <t>(68) 99281-8980</t>
  </si>
  <si>
    <t>taynanafequis@gmail.com</t>
  </si>
  <si>
    <t>RN</t>
  </si>
  <si>
    <t>(84) 99841-1361</t>
  </si>
  <si>
    <t>GABRIEL FILIPE ALMEIDA DOS SANTOS</t>
  </si>
  <si>
    <t>RAELMA PAZ SILVA</t>
  </si>
  <si>
    <t>042.397.851-97</t>
  </si>
  <si>
    <t>DANYLO SANTOS SILVA VILAÇA</t>
  </si>
  <si>
    <t>raelma.gesco@gmail.com</t>
  </si>
  <si>
    <t>JESSICA DE SOUZA LOPES</t>
  </si>
  <si>
    <t>043.129.431-33</t>
  </si>
  <si>
    <t>Universidade de Brasília - UnB</t>
  </si>
  <si>
    <t>BRASÍLIA</t>
  </si>
  <si>
    <t>Taguatinga</t>
  </si>
  <si>
    <t>VICTOR KIITI TANAKA DA ANUNCIAÇÃO</t>
  </si>
  <si>
    <t>jessicalopes.scunb@gmail.com</t>
  </si>
  <si>
    <t>danylovilaca.unb@gmail.com</t>
  </si>
  <si>
    <t>(61)982776770</t>
  </si>
  <si>
    <t>Pós-Graduação (Mestrado Acadêmico)</t>
  </si>
  <si>
    <t>036.850.691-60</t>
  </si>
  <si>
    <t>UNIVERSIDADE DE BRASÍLIA - UNB</t>
  </si>
  <si>
    <t>JOSÉ DE SIQUEIRA GONÇALVES JÚNIOR</t>
  </si>
  <si>
    <t>BRASILIA</t>
  </si>
  <si>
    <t>05682307445</t>
  </si>
  <si>
    <t>(61) 98309-6338</t>
  </si>
  <si>
    <t>victorkiiticm@gmail.com</t>
  </si>
  <si>
    <t>Vitória de santo Antão</t>
  </si>
  <si>
    <t>Pós-Graduação(Mestrado)</t>
  </si>
  <si>
    <t>siqueira_26@hotmail.com</t>
  </si>
  <si>
    <t>(81)998158154</t>
  </si>
  <si>
    <t>JOSÉLIA DE SOUZA TRINDADE</t>
  </si>
  <si>
    <t>joselia.trindade@gmail.com</t>
  </si>
  <si>
    <t>JULIA DE CAMPOS CARDOSO ROCHA</t>
  </si>
  <si>
    <t>SÃO PAULO</t>
  </si>
  <si>
    <t>INDYARA DE ARAUJO MORAIS</t>
  </si>
  <si>
    <t>SP</t>
  </si>
  <si>
    <t>jcampos009@gmail.com</t>
  </si>
  <si>
    <t>(11)996441314</t>
  </si>
  <si>
    <t>031.276.251-89</t>
  </si>
  <si>
    <t>JULIMAR DE FÁTIMA BARROS E BARROS</t>
  </si>
  <si>
    <t>00969870140</t>
  </si>
  <si>
    <t>indydymorais@gmail.com</t>
  </si>
  <si>
    <t>Pós-Graduação (Doutorado)</t>
  </si>
  <si>
    <t>Cruzeiro Velho</t>
  </si>
  <si>
    <t>julimar_barros@hotmail.com</t>
  </si>
  <si>
    <t>JULLIEN DÁBINI LACERDA DE ALMEIDA</t>
  </si>
  <si>
    <t>07234117601</t>
  </si>
  <si>
    <t>BELO HORIZONTE</t>
  </si>
  <si>
    <t>MG</t>
  </si>
  <si>
    <t>JULLIENDLA@GMAIL.COM</t>
  </si>
  <si>
    <t>(31)991659876</t>
  </si>
  <si>
    <t>JÚNIOR MOTA PINHEIRO</t>
  </si>
  <si>
    <t>JOSILENE BRANCO DE SOUZA SALES</t>
  </si>
  <si>
    <t>VOLUNTÁRIE</t>
  </si>
  <si>
    <t>ALINE COUTINHO CAVALCANTI</t>
  </si>
  <si>
    <t>009.698.701-40</t>
  </si>
  <si>
    <t>LAISA DAYANE DE SOUZA BORGES</t>
  </si>
  <si>
    <t>01247008452</t>
  </si>
  <si>
    <t>02980542300</t>
  </si>
  <si>
    <t>MARABÁ</t>
  </si>
  <si>
    <t>aline.cavalcanti@unifesspa.edu.br</t>
  </si>
  <si>
    <t>josilenesales@gmail.com</t>
  </si>
  <si>
    <t>Técnico</t>
  </si>
  <si>
    <t xml:space="preserve">Universidade Federal da Paraíba - Farmaceutica </t>
  </si>
  <si>
    <t>laisadayaneunb@gmail.com</t>
  </si>
  <si>
    <t>(61)993134847</t>
  </si>
  <si>
    <t xml:space="preserve">UNIVERSIDADDE DE BRASÍLIA-UNB </t>
  </si>
  <si>
    <t>ANA CAROLYNNE FERREIRA LOPES</t>
  </si>
  <si>
    <t>05924838358</t>
  </si>
  <si>
    <t>FORTALEZA</t>
  </si>
  <si>
    <t>LEONARDO DE SOUZA LOURENÇO</t>
  </si>
  <si>
    <t>CE</t>
  </si>
  <si>
    <t>anacarolynnef@gmail.com</t>
  </si>
  <si>
    <t>05157478151</t>
  </si>
  <si>
    <t>leonardolourencocarvalho@gmail.com</t>
  </si>
  <si>
    <t>(61)994110443</t>
  </si>
  <si>
    <t>CINTIA MARIA SOUZA DE SÁ</t>
  </si>
  <si>
    <t>LEONARDO PASSERI DE SOUZA</t>
  </si>
  <si>
    <t>02337149102</t>
  </si>
  <si>
    <t>BELÉM</t>
  </si>
  <si>
    <t>cintiamariasa@gmail.com</t>
  </si>
  <si>
    <t>lpasseri.s@gmail.com</t>
  </si>
  <si>
    <t>(61)981617781</t>
  </si>
  <si>
    <t>LUANNY SILVA OVANDO DO NASCIMENTO</t>
  </si>
  <si>
    <t>02236959125</t>
  </si>
  <si>
    <t>ELIA DAGUERRE BENITES</t>
  </si>
  <si>
    <t>luanny_ovando@hotmail.com</t>
  </si>
  <si>
    <t>(65)996145014</t>
  </si>
  <si>
    <t>013.031.592-36</t>
  </si>
  <si>
    <t>LUCAS RODRIGO BATISTA LEITE</t>
  </si>
  <si>
    <t>MATHEUS MOUTINHO CREPALDE</t>
  </si>
  <si>
    <t>04537019140</t>
  </si>
  <si>
    <t>Cuiabá</t>
  </si>
  <si>
    <t>810.139.065-0</t>
  </si>
  <si>
    <t>batistaleitelucas@gmail.com</t>
  </si>
  <si>
    <t>CATAGUASES</t>
  </si>
  <si>
    <t>(65)996289870</t>
  </si>
  <si>
    <t>matheusepidemio@gmail.com</t>
  </si>
  <si>
    <t xml:space="preserve">LUCIANA MARIA MARQUES DE DEUS </t>
  </si>
  <si>
    <t>03517188182</t>
  </si>
  <si>
    <t>FERNANDA SOUSA FERNANDES</t>
  </si>
  <si>
    <t>UNIVERSIDADE FEDERAL DO RIO DE JANEIRO - UFRJ</t>
  </si>
  <si>
    <t>Águas Claras</t>
  </si>
  <si>
    <t>lucianamariamarques@gmail.com</t>
  </si>
  <si>
    <t>Manaus</t>
  </si>
  <si>
    <t>fernandafernandes.fsf@gmail.com</t>
  </si>
  <si>
    <t>UNIVERSIDADE FEDERAL DO OESTE DO PARA-UFOPA</t>
  </si>
  <si>
    <t>MÁBIA MILHOMEM BASTOS</t>
  </si>
  <si>
    <t>03599419159</t>
  </si>
  <si>
    <t>mabiamilhomem@yahoo.com.br</t>
  </si>
  <si>
    <t>(61)996233202</t>
  </si>
  <si>
    <t>MARIA JOSÉ MORAES FRANÇA</t>
  </si>
  <si>
    <t>Humaitá</t>
  </si>
  <si>
    <t>mjfranca34@hotmail.com</t>
  </si>
  <si>
    <t>(97)984010859</t>
  </si>
  <si>
    <t>MARIANA FERREIRA MARQUES COSTA</t>
  </si>
  <si>
    <t>MAURO GERTNER</t>
  </si>
  <si>
    <t xml:space="preserve">São Paulo </t>
  </si>
  <si>
    <t>MAURO.GERTNER@GMAIL.COM</t>
  </si>
  <si>
    <t>(11)952211915</t>
  </si>
  <si>
    <t>PETRUSKA BARROS ALVES</t>
  </si>
  <si>
    <t>03003258192</t>
  </si>
  <si>
    <t xml:space="preserve">SARAH PAMELA FERNANDES LEITE </t>
  </si>
  <si>
    <t>042.872.121-42</t>
  </si>
  <si>
    <t>petrusksevla@gmail.com</t>
  </si>
  <si>
    <t>(61)985439999</t>
  </si>
  <si>
    <t>sarahpfl@gmail.com</t>
  </si>
  <si>
    <t>(61)981479052</t>
  </si>
  <si>
    <t>RODRIGO DE SOUZA BARBOSA</t>
  </si>
  <si>
    <t>03370697190</t>
  </si>
  <si>
    <t>Ceilândia</t>
  </si>
  <si>
    <t>rodsouzbarbosa@hotmail.com</t>
  </si>
  <si>
    <t>(61)995999531</t>
  </si>
  <si>
    <t>TAMARA SILVA DA COSTA</t>
  </si>
  <si>
    <t>04356327101</t>
  </si>
  <si>
    <t>tamarasdacosta@gmail.com</t>
  </si>
  <si>
    <t>(61)992690913</t>
  </si>
  <si>
    <t xml:space="preserve"> TATYERE CONSTANCIO DE SOUSA</t>
  </si>
  <si>
    <t>01120812151</t>
  </si>
  <si>
    <t>CEILÂNDIA</t>
  </si>
  <si>
    <t>tatyere.sousa@gmail.com</t>
  </si>
  <si>
    <t>(61)992316226</t>
  </si>
  <si>
    <t>VIVIANE KAROLINE DA SILVA CARVALHO</t>
  </si>
  <si>
    <t>02667942116</t>
  </si>
  <si>
    <t>THAYNA KAROLINE SOUSA SILVA</t>
  </si>
  <si>
    <t>vivianecarvalho.unb@gmail.com</t>
  </si>
  <si>
    <t>050.064.313-00</t>
  </si>
  <si>
    <t>(14) 38860-3335</t>
  </si>
  <si>
    <t>YAGO MATOS ALVES</t>
  </si>
  <si>
    <t>THAYNAKAROLINES@HOTMAIL.COM</t>
  </si>
  <si>
    <t>ATALAIA DO NORTE</t>
  </si>
  <si>
    <t>UNIVERSIDADE DE BRASÍLIA- UNB</t>
  </si>
  <si>
    <t>ym.alves@outlook.com</t>
  </si>
  <si>
    <t>(11)979675627</t>
  </si>
  <si>
    <t xml:space="preserve">PRISCILA DE MEIRA DA SILVA </t>
  </si>
  <si>
    <t>01372762060</t>
  </si>
  <si>
    <t xml:space="preserve">FLORIANOPOLIS </t>
  </si>
  <si>
    <t>SC</t>
  </si>
  <si>
    <t>priscilameirasanitarista@gmail.com</t>
  </si>
  <si>
    <t>(48)91209983</t>
  </si>
  <si>
    <t>MARIA CLARA MORAIS TORQUATO</t>
  </si>
  <si>
    <t>055.119.831-10</t>
  </si>
  <si>
    <t>mariacm.torquato@gmail.com</t>
  </si>
  <si>
    <t xml:space="preserve">WEVERTON VIEIRA DA SILVA ROSA </t>
  </si>
  <si>
    <t>(61) 98607-6517</t>
  </si>
  <si>
    <t>035.867.201-57</t>
  </si>
  <si>
    <t>velber35@gmail.com</t>
  </si>
  <si>
    <t>VANDERLEI SILVEIRA DUTRA DA SILVA FILHO</t>
  </si>
  <si>
    <t>002.639.540-13</t>
  </si>
  <si>
    <t>CANOAS</t>
  </si>
  <si>
    <t>VANDERLEI.DUTRAFILHO@GMAIL.COM</t>
  </si>
  <si>
    <t>VALIDADE DA ANUIDADE</t>
  </si>
  <si>
    <t>SALVADOR</t>
  </si>
  <si>
    <t>PLENO</t>
  </si>
  <si>
    <t>UNIVERSIDADE FEDERAL DA BAHIA-UFBA</t>
  </si>
  <si>
    <t>WEVERTON VIEIRA DA SILVA ROSA</t>
  </si>
  <si>
    <t>RIO DE JANEIRO</t>
  </si>
  <si>
    <t>UNIVERSIDADE FEDERAL DO RIO DE JANEIRO</t>
  </si>
  <si>
    <t>DANIELLY BATISTA XAVIER</t>
  </si>
  <si>
    <t>MARCOS ALBINO DA SILVA LUCIANO</t>
  </si>
  <si>
    <t>SÃO GABRIEL DA CACHOEIRA</t>
  </si>
  <si>
    <t>MARCOSASGC@GMAIL.COM</t>
  </si>
  <si>
    <t>SARAH PAMELA FERNANDES LEITE</t>
  </si>
  <si>
    <t>UNIVERSIDADE DO ESTADO DO AMAZONAS-UEA</t>
  </si>
  <si>
    <t>ANDREA VILlA BOAS MELLO</t>
  </si>
  <si>
    <t>VERIFICAR</t>
  </si>
  <si>
    <t>Pós-Graduação(Doutorado)</t>
  </si>
  <si>
    <t>PRISCILA DE MEIRA DA SILVA</t>
  </si>
  <si>
    <t>LORRANNY ROSA DE JESUS XAVIER</t>
  </si>
  <si>
    <t>070.064.481-40</t>
  </si>
  <si>
    <t>LUCIANA MARIA MARQUES DE DEUS</t>
  </si>
  <si>
    <t>rosalorranny5@gmail.com</t>
  </si>
  <si>
    <t>ANÁLIA SAMANTA LOPEZ</t>
  </si>
  <si>
    <t>JÚNIOR</t>
  </si>
  <si>
    <t>RAFAEL FRANÇA LIMA</t>
  </si>
  <si>
    <t>335.840.558-30</t>
  </si>
  <si>
    <t>(11) 98994-6872</t>
  </si>
  <si>
    <t>rafafranca89@gmail.com</t>
  </si>
  <si>
    <t>REJANE GUIMARÃES FERREIRA</t>
  </si>
  <si>
    <t>PAOLA ALVES DOS SANTOS MORAIS</t>
  </si>
  <si>
    <t>029.978.841-52</t>
  </si>
  <si>
    <t>(61) 99554-1275</t>
  </si>
  <si>
    <t>INAJARA CAGLIARI FERNANDES</t>
  </si>
  <si>
    <t>paolaalves16@gmail.com</t>
  </si>
  <si>
    <t>LIANA CARLAN PADILHA</t>
  </si>
  <si>
    <t>054.394.824-23</t>
  </si>
  <si>
    <t>NATAL</t>
  </si>
  <si>
    <t>(84) 99108-6265</t>
  </si>
  <si>
    <t>lianacp2804@gmail.com</t>
  </si>
  <si>
    <t>ELIZABETH ALVES DE JESUS</t>
  </si>
  <si>
    <t>CAROLYNE COSME DE SOUZA</t>
  </si>
  <si>
    <t>KELLY CRISTINA DA SILVA CUNHA DURVAL</t>
  </si>
  <si>
    <t>126.391.277-05</t>
  </si>
  <si>
    <t>SÃO GONÇALO</t>
  </si>
  <si>
    <t>(21) 97481-8758</t>
  </si>
  <si>
    <t>Kellycunha.sc@gmail.com</t>
  </si>
  <si>
    <t>TELMA KEIDI DE LIMA RUIVO</t>
  </si>
  <si>
    <t>RAÍSSA BARBIERI BALLEJO CANTO</t>
  </si>
  <si>
    <t>LUCY MARINA DE SOUZA OLIVEIRA</t>
  </si>
  <si>
    <t>carolyne.cosme@gmail.com</t>
  </si>
  <si>
    <t>Pós-graduação(especialização)</t>
  </si>
  <si>
    <t>UNIVERSIDADE FEDERAL DO RIO DE JANEIRO-UFRJ</t>
  </si>
  <si>
    <t xml:space="preserve"> FERNANDA SILVA SCHER </t>
  </si>
  <si>
    <t>ELIDA DIAS CANDIDO</t>
  </si>
  <si>
    <t>090.291.354-92</t>
  </si>
  <si>
    <t>IPATINGA</t>
  </si>
  <si>
    <t>(84) 99461-3061</t>
  </si>
  <si>
    <t>ELIDA</t>
  </si>
  <si>
    <t xml:space="preserve">CAIO WILLIAN </t>
  </si>
  <si>
    <t>CAIO WILLIAM BATISTA DOS SANTOS</t>
  </si>
  <si>
    <t xml:space="preserve">LORENA FREITAS </t>
  </si>
  <si>
    <t>007.502.851-41</t>
  </si>
  <si>
    <t xml:space="preserve">Paola Alves dos Santos Morais </t>
  </si>
  <si>
    <t>Zoramis Lima Pacheco</t>
  </si>
  <si>
    <t>(61) 99253-9610</t>
  </si>
  <si>
    <t>IAGO RAMOS DE OLIVEIRA CASTRO</t>
  </si>
  <si>
    <t>063.879.921-09</t>
  </si>
  <si>
    <t>(61) 99618-1115</t>
  </si>
  <si>
    <t>Iramoscontatos@gmail.com</t>
  </si>
  <si>
    <t>LORENA DE FREITAS FIDYK</t>
  </si>
  <si>
    <t>032.514.351-00</t>
  </si>
  <si>
    <t>Taguatinga Norte</t>
  </si>
  <si>
    <t>(61) 99602-3350</t>
  </si>
  <si>
    <t>lorenaffidyk@gmail.com</t>
  </si>
  <si>
    <t>KLAUSS KLEYDMANN SABINO GARCIA</t>
  </si>
  <si>
    <t>045.395.291-70</t>
  </si>
  <si>
    <t>LONDRES</t>
  </si>
  <si>
    <t>UK</t>
  </si>
  <si>
    <t>(61) 98219-3086</t>
  </si>
  <si>
    <t>kleydmann25@gmail.com</t>
  </si>
  <si>
    <t>Pós-Graduação (Pós-Doutorado)</t>
  </si>
  <si>
    <t>Universidade de Brasília - Faculdade de Ceilândia (UnB-FCE)</t>
  </si>
  <si>
    <t>OLÁVIO PEREIRA GOMES</t>
  </si>
  <si>
    <t>044.184.051-51</t>
  </si>
  <si>
    <t>(61) 99291-8280</t>
  </si>
  <si>
    <t>olavio_chemin@hotmail.com</t>
  </si>
  <si>
    <t xml:space="preserve">AKENI LOBO COELHO </t>
  </si>
  <si>
    <t>01964293154</t>
  </si>
  <si>
    <t>akeni.lobo@gmail.com</t>
  </si>
  <si>
    <t xml:space="preserve">ALDINIRO CAVALCANTE DA SILVA </t>
  </si>
  <si>
    <t xml:space="preserve">TEFÉ </t>
  </si>
  <si>
    <t>aldinirocavalcante@hotmail.com</t>
  </si>
  <si>
    <t>UNIVERSIDADE DO ESTADO DO AMAZONAS - UEA</t>
  </si>
  <si>
    <t>(61)99982-2480
(61)99982-2480</t>
  </si>
  <si>
    <t>amritcarvalho@gmail.com</t>
  </si>
  <si>
    <t>Universidade de Brasília - UNB</t>
  </si>
  <si>
    <t>09712083101</t>
  </si>
  <si>
    <t>FOZ DO IGUAÇU</t>
  </si>
  <si>
    <t>PR</t>
  </si>
  <si>
    <t>+5493513257992</t>
  </si>
  <si>
    <t>LOPEZANALIA55@GMAIL.COM</t>
  </si>
  <si>
    <t>Médio</t>
  </si>
  <si>
    <t>UNIVERSIDADE FEDERAL DE INTEGRAÇÃO LATINOAMERICANA- UNILA</t>
  </si>
  <si>
    <t>01727088263</t>
  </si>
  <si>
    <t>HUMAITÁ</t>
  </si>
  <si>
    <t>andre_limabarroso@hotmail.com</t>
  </si>
  <si>
    <t>UNIVERSIDADE DO ESTADO DO AMAZONAS UEA</t>
  </si>
  <si>
    <t xml:space="preserve">BÁRBARA ESTEVAM FERREIRA SANTANA </t>
  </si>
  <si>
    <t>04824469198</t>
  </si>
  <si>
    <t xml:space="preserve">CUIABÁ </t>
  </si>
  <si>
    <t>estevam.barbara@gmail.com</t>
  </si>
  <si>
    <t>UNIVERSIDADE FEDERAL DO MATO GROSSO - UFMT</t>
  </si>
  <si>
    <t>carolinedsdiniz@gmail.com</t>
  </si>
  <si>
    <t>UNIVERSIDADE DE UBERABA - UNIUBE</t>
  </si>
  <si>
    <t>05386287150</t>
  </si>
  <si>
    <t>emilyraquel.unb@gmail.com</t>
  </si>
  <si>
    <t>CAMPO GRANDE</t>
  </si>
  <si>
    <t>chicoantonio69@gmail.com</t>
  </si>
  <si>
    <t>UNIVERSIDADE FEDERAL DO RIO GRANDE DO NORTE-UFRN</t>
  </si>
  <si>
    <t>INAJARA CAGLIANI FERNANDES</t>
  </si>
  <si>
    <t>036.246.971-70</t>
  </si>
  <si>
    <t>JESSICA PROCOPIO DE QUADROS</t>
  </si>
  <si>
    <t>VALPARAISO DE GOIAS</t>
  </si>
  <si>
    <t>GO</t>
  </si>
  <si>
    <t>jessica.jpdq@gmail.com</t>
  </si>
  <si>
    <t>UFPE-CAV</t>
  </si>
  <si>
    <t>USP</t>
  </si>
  <si>
    <t>UnB</t>
  </si>
  <si>
    <t xml:space="preserve">UNIVERSIDADE FEDERAL DE MINAS GERAIS </t>
  </si>
  <si>
    <t xml:space="preserve">KEROLYN RAMOS GARCIA </t>
  </si>
  <si>
    <t>04098907151</t>
  </si>
  <si>
    <t xml:space="preserve">Brasília </t>
  </si>
  <si>
    <t>+351932363725</t>
  </si>
  <si>
    <t>kerolynramos@gmail.com</t>
  </si>
  <si>
    <t>LEONARDO DE SOUZA LOURENÇO CARVALHO</t>
  </si>
  <si>
    <t>UFMT</t>
  </si>
  <si>
    <t xml:space="preserve">LUCAS RODRIGO BATISTA LEITE </t>
  </si>
  <si>
    <t>Universidade de Brasilia UnB</t>
  </si>
  <si>
    <t>Universidade Estadual do Amazonas-UEA</t>
  </si>
  <si>
    <t>FSP FACULDADE SAUDE PUBLICA -USP</t>
  </si>
  <si>
    <t>UNIVERSIDADE DO ESTADO DO AMAZONAS -UEA</t>
  </si>
  <si>
    <t>SONIERY ALMEIDA MACIEL</t>
  </si>
  <si>
    <t>00471680133</t>
  </si>
  <si>
    <t>GAMA</t>
  </si>
  <si>
    <t>sonierya@gmail.com</t>
  </si>
  <si>
    <t>TATYERE CONSTANCIO DE SOUSA</t>
  </si>
  <si>
    <t>THAIS BARBOSA DE OLIVEIRA</t>
  </si>
  <si>
    <t>Sanitaristathais@gmail.com</t>
  </si>
  <si>
    <t>UNIVERSIDADE DE SÃO PAULO - USP</t>
  </si>
  <si>
    <t>GABRIEL DE FREITAS LEITE</t>
  </si>
  <si>
    <t>176.311.487-24</t>
  </si>
  <si>
    <t>(21)99907-3134</t>
  </si>
  <si>
    <t>gabrieldefreitasleite2003@gmail.com</t>
  </si>
  <si>
    <t>ELLEN LUIZA DA SILVA RIBEIRO</t>
  </si>
  <si>
    <t>153.524.887-48</t>
  </si>
  <si>
    <t>(21) 98895-6653</t>
  </si>
  <si>
    <t>JILMARA DOS SANTOS DE JESUS</t>
  </si>
  <si>
    <t>005.977.645-57</t>
  </si>
  <si>
    <t>Salvador</t>
  </si>
  <si>
    <t>(71) 98892-6927</t>
  </si>
  <si>
    <t>jylmara2@gmail.com</t>
  </si>
  <si>
    <t xml:space="preserve">UNIVERSIDADE FEDERAL DA BAHIA - UFBA </t>
  </si>
  <si>
    <t>PATRICK EUGENIO SILVA</t>
  </si>
  <si>
    <t>177.465.357-55</t>
  </si>
  <si>
    <t>Belford Roxo</t>
  </si>
  <si>
    <t>(21) 96421-4660</t>
  </si>
  <si>
    <t>contaubertrick@gmail.com</t>
  </si>
  <si>
    <t>WERICK ALVES DA COSTA</t>
  </si>
  <si>
    <t>052.588.831-40</t>
  </si>
  <si>
    <t>(61) 98283-4534</t>
  </si>
  <si>
    <t>werick.alves25@gmail.com</t>
  </si>
  <si>
    <t>WESLEY DIAS DA SILVA</t>
  </si>
  <si>
    <t>083.524.175-09</t>
  </si>
  <si>
    <t>61 995662839</t>
  </si>
  <si>
    <t>wsly2025@gmail.com</t>
  </si>
  <si>
    <t>ZORAMIS LIMA PACHECO</t>
  </si>
  <si>
    <t>035.033.515-07</t>
  </si>
  <si>
    <t>(71) 99237-6060</t>
  </si>
  <si>
    <t>zoramis@gmail.com</t>
  </si>
  <si>
    <t>DAIANE CELESTINO MELO</t>
  </si>
  <si>
    <t>012.508.225-80</t>
  </si>
  <si>
    <t>(71) 98652-0646</t>
  </si>
  <si>
    <t>NATALIA FERNANDES DE ANDRADE</t>
  </si>
  <si>
    <t>036.027.331-90</t>
  </si>
  <si>
    <t>(61) 98278-9716</t>
  </si>
  <si>
    <t>natalia.fandrades@gmail.com</t>
  </si>
  <si>
    <t>UNIVERSIDADE DE BRASÍLIA-UNB</t>
  </si>
  <si>
    <t xml:space="preserve">JAYSSA MARTINS VASCONCELOS </t>
  </si>
  <si>
    <t>933.959.222-00</t>
  </si>
  <si>
    <t xml:space="preserve">Manacapuru </t>
  </si>
  <si>
    <t>(92) 99108-7393</t>
  </si>
  <si>
    <t>jayssacellos@gmail.com</t>
  </si>
  <si>
    <t>UNIVERSIDADE ESTADUAL DO AMAZONAS-UEA</t>
  </si>
  <si>
    <t xml:space="preserve">CAROLINA SOARES HENRIQUES  </t>
  </si>
  <si>
    <t>154.944.597-99</t>
  </si>
  <si>
    <t xml:space="preserve">Miguel Pereira </t>
  </si>
  <si>
    <t>(24) 98144-6161</t>
  </si>
  <si>
    <t>carolinash13@gmail.com</t>
  </si>
  <si>
    <t xml:space="preserve">UNIVERSIDADE FEDERAL DO RIO DE JANEIRO- UFRJ </t>
  </si>
  <si>
    <t>MOISES MARINHO LOPES DE OLIVEIRA</t>
  </si>
  <si>
    <t>076.898.681-85</t>
  </si>
  <si>
    <t xml:space="preserve">Distrito Federal </t>
  </si>
  <si>
    <t>(61) 99131-3573</t>
  </si>
  <si>
    <t>lilianfelixmarinho19@gmail.com</t>
  </si>
  <si>
    <t>ELISANGELA APARECIDA DE OLIVEIRA</t>
  </si>
  <si>
    <t>867.571.481-53</t>
  </si>
  <si>
    <t>(65) 99217-2640</t>
  </si>
  <si>
    <t>elisangelaoliveira.ufmt@gmail.com</t>
  </si>
  <si>
    <t>MYCHELLE FRAZAO</t>
  </si>
  <si>
    <t>715.151.544-83</t>
  </si>
  <si>
    <t xml:space="preserve">Paulista </t>
  </si>
  <si>
    <t>(81) 97300-1364</t>
  </si>
  <si>
    <t>mychellefrazaoresidente@gmail.com</t>
  </si>
  <si>
    <t>Universidade de Pernambuco</t>
  </si>
  <si>
    <t>JESSICA SUZY NAZARE DOS SANTOS CASTRO</t>
  </si>
  <si>
    <t>015.408.262-79</t>
  </si>
  <si>
    <t>Manacapuru</t>
  </si>
  <si>
    <t>(92) 99313-8682</t>
  </si>
  <si>
    <t>jessicasantos193@gmail.com</t>
  </si>
  <si>
    <t>Universidade do Estado do Amazonas</t>
  </si>
  <si>
    <t>ANDRESSA VULCÃO DA SILVA</t>
  </si>
  <si>
    <t>039.532.712-10</t>
  </si>
  <si>
    <t>(91) 99376-7661</t>
  </si>
  <si>
    <t>vulcaaoandressa@gmail.com</t>
  </si>
  <si>
    <t>UNIVERSIDADE DO ESTADO DO PARÁ (UEPA)</t>
  </si>
  <si>
    <t>026.679.421-16</t>
  </si>
  <si>
    <t xml:space="preserve">Não reside no Brasil </t>
  </si>
  <si>
    <t xml:space="preserve">Universidade de Brasília- UNB </t>
  </si>
  <si>
    <t>ROMERO DOS SANTOS CALO</t>
  </si>
  <si>
    <t>013.802.132-58</t>
  </si>
  <si>
    <t>(66) 98140-1216</t>
  </si>
  <si>
    <t>romerocalo68@gmail.com</t>
  </si>
  <si>
    <t xml:space="preserve">UFMT-Universidade Federal do Mato-Grosso </t>
  </si>
  <si>
    <t xml:space="preserve">GRAZIELA BARBOSA DIAS  </t>
  </si>
  <si>
    <t>813.223.560-68</t>
  </si>
  <si>
    <t>(51) 98215-7331</t>
  </si>
  <si>
    <t>grazielabdias@gmail.com</t>
  </si>
  <si>
    <t>UFRGS</t>
  </si>
  <si>
    <t>JULIA LUZ CAMARGOS MESQUITA</t>
  </si>
  <si>
    <t>032.231.301-52</t>
  </si>
  <si>
    <t>(61) 99967-5117</t>
  </si>
  <si>
    <t>julialuzmesquita@gmail.com</t>
  </si>
  <si>
    <t>UNB</t>
  </si>
  <si>
    <t xml:space="preserve">JULIA CHAVES DO NASCIMENTO </t>
  </si>
  <si>
    <t>060.761.211-81</t>
  </si>
  <si>
    <t>(61) 98347-8785</t>
  </si>
  <si>
    <t>juliaachaves6@gmail.com</t>
  </si>
  <si>
    <t xml:space="preserve">Universidade de Brasília </t>
  </si>
  <si>
    <t>KRYSLAINNE MILLENA OLIVEIRA DE JESUS</t>
  </si>
  <si>
    <t>060.456.071-04</t>
  </si>
  <si>
    <t>Sobradinho</t>
  </si>
  <si>
    <t>(61) 92001-1691</t>
  </si>
  <si>
    <t>kryslainnemillena@gmail.com</t>
  </si>
  <si>
    <t xml:space="preserve">UNB </t>
  </si>
  <si>
    <t>DOUGLAS DOS SANTOS VASCO</t>
  </si>
  <si>
    <t>045.245.071-32</t>
  </si>
  <si>
    <t>CEILANDIA</t>
  </si>
  <si>
    <t>(61) 99693-3190</t>
  </si>
  <si>
    <t>douglas.vasco3@gmail.com</t>
  </si>
  <si>
    <t>JOÃO MARCOS CARDOZO DOS SANTOS</t>
  </si>
  <si>
    <t>190.366.707-05</t>
  </si>
  <si>
    <t>(21) 99058-3286</t>
  </si>
  <si>
    <t>mvrj.joaomarcos55@gmail.com</t>
  </si>
  <si>
    <t>UFRJ</t>
  </si>
  <si>
    <t>LUCIANA GONZAGA DE OLIVEIRA</t>
  </si>
  <si>
    <t>034.516.511-06</t>
  </si>
  <si>
    <t xml:space="preserve">São Sebastião </t>
  </si>
  <si>
    <t>(61) 99334-2332</t>
  </si>
  <si>
    <t>lucianagoliveira7@gmail.com</t>
  </si>
  <si>
    <t>Universidade de Brasilia</t>
  </si>
  <si>
    <t xml:space="preserve">LUCIANA LIMA MARQUES </t>
  </si>
  <si>
    <t>379.525.498-12</t>
  </si>
  <si>
    <t>(11) 96522-6873</t>
  </si>
  <si>
    <t>lucianadestiny@gmail.com</t>
  </si>
  <si>
    <t>ALEXSANDRO DE MELO LAURINDO</t>
  </si>
  <si>
    <t>120.359.844-08</t>
  </si>
  <si>
    <t>(81) 99188-3243</t>
  </si>
  <si>
    <t>alexs.melolaurindo@gmail.com</t>
  </si>
  <si>
    <t>UFPE</t>
  </si>
  <si>
    <t>THIAGO LUIS PEDROSO MOREIRA</t>
  </si>
  <si>
    <t>023.912.761-76</t>
  </si>
  <si>
    <t>(65) 99605-5031</t>
  </si>
  <si>
    <t>thiagosluis11@gmail.com</t>
  </si>
  <si>
    <t>JEAN CARLOS CUSTODIO DA SILVA</t>
  </si>
  <si>
    <t>070.456.301-07</t>
  </si>
  <si>
    <t>(61) 98496-9576</t>
  </si>
  <si>
    <t>jeancarloscustodio0@gmail.com</t>
  </si>
  <si>
    <t>ISAC DAVIDSON SANTIAGO FERNANDES PIMENTA</t>
  </si>
  <si>
    <t>017.421.064-71</t>
  </si>
  <si>
    <t>Parnamirim</t>
  </si>
  <si>
    <t>(84) 99981-9542</t>
  </si>
  <si>
    <t>isacdavidson29@gmail.com</t>
  </si>
  <si>
    <t>MARLON SOUZA ZAMBRANO</t>
  </si>
  <si>
    <t>829.710.210-68</t>
  </si>
  <si>
    <t>(51) 98135-9812</t>
  </si>
  <si>
    <t>marlonsouzazambrano@gmail.com</t>
  </si>
  <si>
    <t>LAIS DE ALMEIDA RELVAS BRAMDT</t>
  </si>
  <si>
    <t>057.946.607-83</t>
  </si>
  <si>
    <t>(61) 98347-1318</t>
  </si>
  <si>
    <t>laisrelvas@gmail.com</t>
  </si>
  <si>
    <t>INGRID BEATRIZ DA SILVA</t>
  </si>
  <si>
    <t>017.177.194-06</t>
  </si>
  <si>
    <t>(85) 99648-1252</t>
  </si>
  <si>
    <t>ingridbeattrizs@gmail.com</t>
  </si>
  <si>
    <t xml:space="preserve">RENAN CARLOS FREITAS DA SILVA </t>
  </si>
  <si>
    <t>081.760.154-66</t>
  </si>
  <si>
    <t>Recife</t>
  </si>
  <si>
    <t>(81) 98638-8582</t>
  </si>
  <si>
    <t>renancarlos.eaf@gmail.com</t>
  </si>
  <si>
    <t xml:space="preserve">PALOMA RIBEIRO PIRES SIMAS </t>
  </si>
  <si>
    <t>033.754.105-14</t>
  </si>
  <si>
    <t>(61) 98284-9024</t>
  </si>
  <si>
    <t>simaspaloma74@gmail.com</t>
  </si>
  <si>
    <t xml:space="preserve">MARIANA UCHOA PEREIRA </t>
  </si>
  <si>
    <t>005.356.022-19</t>
  </si>
  <si>
    <t>(68) 99923-9469</t>
  </si>
  <si>
    <t>marianauchoa02@gmail.com</t>
  </si>
  <si>
    <t>831.665.561-68</t>
  </si>
  <si>
    <t>(65) 98454-2677</t>
  </si>
  <si>
    <t>JHULLYA RITA NASCIMENTO CARVALHO</t>
  </si>
  <si>
    <t>022.252.772-22</t>
  </si>
  <si>
    <t>(68) 99918-1415</t>
  </si>
  <si>
    <t>jhullya.carvalho02@gmail.com</t>
  </si>
  <si>
    <t>OSEIAS AFONSO DA SILVA</t>
  </si>
  <si>
    <t>689.737.301-00</t>
  </si>
  <si>
    <t>VÁRZEA GRANDE</t>
  </si>
  <si>
    <t>(65) 99902-4847</t>
  </si>
  <si>
    <t>oseiaspaifeliz@gmail.com</t>
  </si>
  <si>
    <t>DANIELA KETLYN COUTINHO PORTO DE SOUZA</t>
  </si>
  <si>
    <t>042.908.811-65</t>
  </si>
  <si>
    <t>Guará</t>
  </si>
  <si>
    <t>(61) 98155-0244</t>
  </si>
  <si>
    <t>daniela_ketlyn@hotmail.com</t>
  </si>
  <si>
    <r>
      <rPr>
        <rFont val="Arial"/>
        <color rgb="FF1155CC"/>
        <sz val="10.0"/>
        <u/>
      </rPr>
      <t>adrianaqueirozdecampos@gmail.com</t>
    </r>
  </si>
  <si>
    <t>Gama</t>
  </si>
  <si>
    <t>(61) 99209-4433</t>
  </si>
  <si>
    <t>telmakeidiruivo@gmail.com</t>
  </si>
  <si>
    <t xml:space="preserve">DYEGO RAMOS HENRIQUE </t>
  </si>
  <si>
    <t>028.060.161-18</t>
  </si>
  <si>
    <t xml:space="preserve">Gama </t>
  </si>
  <si>
    <t>dyegoramosunb@gmail.com</t>
  </si>
  <si>
    <t>UNB - UNIVERSIDADE DE BRASÍLIA</t>
  </si>
  <si>
    <t>RAISSA VASCONCELOS REGO</t>
  </si>
  <si>
    <t>025.262.462-96</t>
  </si>
  <si>
    <t xml:space="preserve">Santarém </t>
  </si>
  <si>
    <t>PA - Pará</t>
  </si>
  <si>
    <t>(93) 99239-5092</t>
  </si>
  <si>
    <t>raissastm20@gmail.com</t>
  </si>
  <si>
    <t>Concordo com os termos e desejo continuar.</t>
  </si>
  <si>
    <t>Universidade Federal do Oeste do Paraná (UFOPA)</t>
  </si>
  <si>
    <t>raissa_vsconcelos</t>
  </si>
  <si>
    <t>Sim</t>
  </si>
  <si>
    <t>FERNANDA SILVA SCHER</t>
  </si>
  <si>
    <t>057.727.505-42</t>
  </si>
  <si>
    <t>(71) 99704-6084</t>
  </si>
  <si>
    <t>fernanda.scher@gmail.com</t>
  </si>
  <si>
    <t>Universidade Federal da Bahia</t>
  </si>
  <si>
    <t>CAMILA DA SILVA CORADI</t>
  </si>
  <si>
    <t>042.829.701-38</t>
  </si>
  <si>
    <t>(61) 98229-0131</t>
  </si>
  <si>
    <t>camila.unb.silva@gmail.com</t>
  </si>
  <si>
    <t>Universidade de Brasília</t>
  </si>
  <si>
    <t>silvacamila_</t>
  </si>
  <si>
    <t>BÁRBARA CASTRO DE MACÊDO</t>
  </si>
  <si>
    <t>037.574.401-02</t>
  </si>
  <si>
    <t>(61) 99689-5112</t>
  </si>
  <si>
    <t>barbaracastro.macedo57@gmail.com</t>
  </si>
  <si>
    <t>@babi.bcm</t>
  </si>
  <si>
    <t>563.241.200-82</t>
  </si>
  <si>
    <t>(51) 99992-6080</t>
  </si>
  <si>
    <t>elia@daguerre.com.br</t>
  </si>
  <si>
    <t xml:space="preserve">UFRGS </t>
  </si>
  <si>
    <t>@Daguerreelia</t>
  </si>
  <si>
    <t>LUCIANO CAMPOS SILVA</t>
  </si>
  <si>
    <t>015.520.021-60</t>
  </si>
  <si>
    <t>(65) 99222-1827</t>
  </si>
  <si>
    <t>cs6luciano@gmail.com</t>
  </si>
  <si>
    <t xml:space="preserve">Universidade Federal de Mato Grosso-UFMT </t>
  </si>
  <si>
    <t>não</t>
  </si>
  <si>
    <t>MATHEUS ADRIANO LIRA DIAS</t>
  </si>
  <si>
    <t>031.050.441-40</t>
  </si>
  <si>
    <t xml:space="preserve">Brasília. </t>
  </si>
  <si>
    <t>(61) 99119-4868</t>
  </si>
  <si>
    <t>matheuslliradias@gmail.com</t>
  </si>
  <si>
    <t xml:space="preserve">Estou cursando, atualmente no 2º semestre — Universidade de Brasília (UnB) </t>
  </si>
  <si>
    <t>Maatheuscz</t>
  </si>
  <si>
    <t>NATHALIE ALVES AGRIPINO</t>
  </si>
  <si>
    <t>098.365.344-58</t>
  </si>
  <si>
    <t>Brasília - DF</t>
  </si>
  <si>
    <t>(61) 99129-6268</t>
  </si>
  <si>
    <t>nathaliealves7@gmail.com</t>
  </si>
  <si>
    <t>Universidade de Pernambuco (UPE)</t>
  </si>
  <si>
    <t>@nathaagri</t>
  </si>
  <si>
    <t>PAULO CEZAR DE MORAES</t>
  </si>
  <si>
    <t>502.141.600-68</t>
  </si>
  <si>
    <t>(51) 99257-2882</t>
  </si>
  <si>
    <t>mpchansen@gmail.com</t>
  </si>
  <si>
    <t>051.574.781-51</t>
  </si>
  <si>
    <t>(61) 99411-0443</t>
  </si>
  <si>
    <t>BRENDA CRISTINE FERNANDES DE ALMEIDA</t>
  </si>
  <si>
    <t>177.384.537-37</t>
  </si>
  <si>
    <t>Rio de Janeiro</t>
  </si>
  <si>
    <t>(21) 96558-8230</t>
  </si>
  <si>
    <t>brenda.almeida99@gmail.com</t>
  </si>
  <si>
    <t>JORGIVAN PEREIRA XAVIER</t>
  </si>
  <si>
    <t>784.826.315-00</t>
  </si>
  <si>
    <t>(71) 98882-6397</t>
  </si>
  <si>
    <t>jorgivan.xavier@gmail.com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</si>
</sst>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9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sz val="10.0"/>
      <color theme="1"/>
      <name val="Arial"/>
    </font>
    <font>
      <color rgb="FF000000"/>
      <name val="Arial"/>
    </font>
    <font>
      <color rgb="FF000000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b/>
      <color theme="1"/>
      <name val="Arial"/>
      <scheme val="minor"/>
    </font>
    <font>
      <sz val="12.0"/>
      <color rgb="FF000000"/>
      <name val="Calibri"/>
    </font>
    <font>
      <sz val="12.0"/>
      <color rgb="FFFF0000"/>
      <name val="Calibri"/>
    </font>
    <font>
      <sz val="11.0"/>
      <color rgb="FF000000"/>
      <name val="Inconsolata"/>
    </font>
    <font>
      <u/>
      <sz val="10.0"/>
      <color rgb="FF1155CC"/>
      <name val="Arial"/>
    </font>
    <font>
      <b/>
      <sz val="10.0"/>
      <color theme="1"/>
      <name val="Arial"/>
    </font>
    <font>
      <u/>
      <sz val="10.0"/>
      <color rgb="FF1155CC"/>
      <name val="Arial"/>
    </font>
    <font>
      <u/>
      <color rgb="FF1155CC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277E3E"/>
        <bgColor rgb="FF277E3E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5" fontId="3" numFmtId="1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vertical="center"/>
    </xf>
    <xf quotePrefix="1" borderId="1" fillId="0" fontId="2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1" fillId="0" fontId="4" numFmtId="14" xfId="0" applyAlignment="1" applyBorder="1" applyFont="1" applyNumberFormat="1">
      <alignment horizontal="center" vertical="bottom"/>
    </xf>
    <xf quotePrefix="1"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1" fillId="0" fontId="5" numFmtId="1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1" fillId="4" fontId="3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shrinkToFit="0" vertical="top" wrapText="0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5" numFmtId="1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6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2" numFmtId="0" xfId="0" applyBorder="1" applyFont="1"/>
    <xf borderId="1" fillId="0" fontId="5" numFmtId="1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 shrinkToFit="0" vertical="top" wrapText="0"/>
    </xf>
    <xf borderId="1" fillId="0" fontId="5" numFmtId="165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" fillId="6" fontId="3" numFmtId="0" xfId="0" applyAlignment="1" applyBorder="1" applyFont="1">
      <alignment horizontal="center" shrinkToFit="0" vertical="center" wrapText="1"/>
    </xf>
    <xf borderId="1" fillId="6" fontId="3" numFmtId="14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center"/>
    </xf>
    <xf borderId="1" fillId="6" fontId="3" numFmtId="164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0" fillId="6" fontId="5" numFmtId="0" xfId="0" applyAlignment="1" applyFont="1">
      <alignment horizontal="center" vertical="center"/>
    </xf>
    <xf borderId="0" fillId="6" fontId="8" numFmtId="0" xfId="0" applyAlignment="1" applyFont="1">
      <alignment horizontal="center" vertical="center"/>
    </xf>
    <xf borderId="0" fillId="6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4" numFmtId="1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1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readingOrder="0"/>
    </xf>
    <xf borderId="1" fillId="0" fontId="5" numFmtId="1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top"/>
    </xf>
    <xf borderId="0" fillId="0" fontId="5" numFmtId="14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8" fontId="6" numFmtId="0" xfId="0" applyAlignment="1" applyBorder="1" applyFill="1" applyFont="1">
      <alignment horizontal="center" readingOrder="0" vertical="top"/>
    </xf>
    <xf borderId="1" fillId="7" fontId="3" numFmtId="164" xfId="0" applyAlignment="1" applyBorder="1" applyFont="1" applyNumberForma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7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5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0" fillId="9" fontId="11" numFmtId="0" xfId="0" applyAlignment="1" applyFill="1" applyFont="1">
      <alignment horizontal="center" readingOrder="0" shrinkToFit="0" vertical="bottom" wrapText="0"/>
    </xf>
    <xf borderId="1" fillId="9" fontId="11" numFmtId="0" xfId="0" applyAlignment="1" applyBorder="1" applyFont="1">
      <alignment horizontal="center" readingOrder="0" shrinkToFit="0" vertical="bottom" wrapText="0"/>
    </xf>
    <xf borderId="1" fillId="0" fontId="4" numFmtId="14" xfId="0" applyAlignment="1" applyBorder="1" applyFont="1" applyNumberFormat="1">
      <alignment horizontal="right" vertical="bottom"/>
    </xf>
    <xf quotePrefix="1" borderId="1" fillId="0" fontId="4" numFmtId="0" xfId="0" applyAlignment="1" applyBorder="1" applyFont="1">
      <alignment vertical="bottom"/>
    </xf>
    <xf borderId="1" fillId="7" fontId="11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vertical="bottom"/>
    </xf>
    <xf borderId="1" fillId="7" fontId="11" numFmtId="0" xfId="0" applyAlignment="1" applyBorder="1" applyFont="1">
      <alignment horizontal="center" readingOrder="0"/>
    </xf>
    <xf borderId="1" fillId="7" fontId="11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right" readingOrder="0" vertical="bottom"/>
    </xf>
    <xf borderId="1" fillId="0" fontId="11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/>
    </xf>
    <xf borderId="1" fillId="0" fontId="4" numFmtId="0" xfId="0" applyAlignment="1" applyBorder="1" applyFont="1">
      <alignment readingOrder="0" vertical="bottom"/>
    </xf>
    <xf borderId="1" fillId="7" fontId="12" numFmtId="0" xfId="0" applyAlignment="1" applyBorder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vertical="center"/>
    </xf>
    <xf borderId="1" fillId="0" fontId="11" numFmtId="165" xfId="0" applyAlignment="1" applyBorder="1" applyFont="1" applyNumberFormat="1">
      <alignment horizontal="center" readingOrder="0" shrinkToFit="0" vertical="bottom" wrapText="0"/>
    </xf>
    <xf borderId="1" fillId="0" fontId="2" numFmtId="165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borderId="1" fillId="0" fontId="7" numFmtId="164" xfId="0" applyAlignment="1" applyBorder="1" applyFont="1" applyNumberFormat="1">
      <alignment horizontal="center"/>
    </xf>
    <xf borderId="1" fillId="7" fontId="13" numFmtId="0" xfId="0" applyAlignment="1" applyBorder="1" applyFont="1">
      <alignment horizontal="center"/>
    </xf>
    <xf borderId="1" fillId="7" fontId="13" numFmtId="165" xfId="0" applyAlignment="1" applyBorder="1" applyFont="1" applyNumberFormat="1">
      <alignment horizontal="center"/>
    </xf>
    <xf borderId="1" fillId="0" fontId="7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2" numFmtId="0" xfId="0" applyFont="1"/>
    <xf borderId="1" fillId="7" fontId="5" numFmtId="0" xfId="0" applyAlignment="1" applyBorder="1" applyFont="1">
      <alignment horizontal="center" readingOrder="0" vertical="bottom"/>
    </xf>
    <xf borderId="1" fillId="10" fontId="5" numFmtId="0" xfId="0" applyAlignment="1" applyBorder="1" applyFill="1" applyFont="1">
      <alignment horizontal="center" readingOrder="0" vertical="center"/>
    </xf>
    <xf quotePrefix="1"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5" numFmtId="165" xfId="0" applyAlignment="1" applyBorder="1" applyFont="1" applyNumberFormat="1">
      <alignment horizontal="center" readingOrder="0" vertical="bottom"/>
    </xf>
    <xf borderId="1" fillId="11" fontId="7" numFmtId="0" xfId="0" applyAlignment="1" applyBorder="1" applyFill="1" applyFont="1">
      <alignment horizontal="center" readingOrder="0" vertical="center"/>
    </xf>
    <xf borderId="1" fillId="11" fontId="7" numFmtId="0" xfId="0" applyAlignment="1" applyBorder="1" applyFont="1">
      <alignment horizontal="center" readingOrder="0" shrinkToFit="0" vertical="center" wrapText="1"/>
    </xf>
    <xf borderId="1" fillId="11" fontId="2" numFmtId="0" xfId="0" applyAlignment="1" applyBorder="1" applyFont="1">
      <alignment horizontal="center" readingOrder="0" shrinkToFit="0" vertical="center" wrapText="1"/>
    </xf>
    <xf borderId="1" fillId="11" fontId="2" numFmtId="165" xfId="0" applyAlignment="1" applyBorder="1" applyFont="1" applyNumberForma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11" fontId="4" numFmtId="0" xfId="0" applyAlignment="1" applyBorder="1" applyFont="1">
      <alignment readingOrder="0" vertical="bottom"/>
    </xf>
    <xf borderId="1" fillId="11" fontId="2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vertical="center"/>
    </xf>
    <xf borderId="1" fillId="11" fontId="5" numFmtId="165" xfId="0" applyAlignment="1" applyBorder="1" applyFont="1" applyNumberFormat="1">
      <alignment horizontal="center"/>
    </xf>
    <xf borderId="1" fillId="11" fontId="5" numFmtId="165" xfId="0" applyAlignment="1" applyBorder="1" applyFont="1" applyNumberFormat="1">
      <alignment horizontal="center" vertical="center"/>
    </xf>
    <xf borderId="0" fillId="11" fontId="2" numFmtId="0" xfId="0" applyAlignment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7" fontId="5" numFmtId="0" xfId="0" applyAlignment="1" applyBorder="1" applyFont="1">
      <alignment horizontal="center" readingOrder="0"/>
    </xf>
    <xf borderId="1" fillId="0" fontId="5" numFmtId="0" xfId="0" applyBorder="1" applyFont="1"/>
    <xf borderId="1" fillId="0" fontId="5" numFmtId="165" xfId="0" applyAlignment="1" applyBorder="1" applyFont="1" applyNumberFormat="1">
      <alignment horizontal="center" readingOrder="0"/>
    </xf>
    <xf borderId="1" fillId="11" fontId="2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ont="1">
      <alignment horizontal="center" readingOrder="0" vertical="bottom"/>
    </xf>
    <xf borderId="1" fillId="11" fontId="5" numFmtId="14" xfId="0" applyAlignment="1" applyBorder="1" applyFont="1" applyNumberFormat="1">
      <alignment horizontal="center" vertical="bottom"/>
    </xf>
    <xf borderId="1" fillId="11" fontId="5" numFmtId="0" xfId="0" applyAlignment="1" applyBorder="1" applyFont="1">
      <alignment horizontal="center" vertical="bottom"/>
    </xf>
    <xf borderId="1" fillId="11" fontId="5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center" readingOrder="0"/>
    </xf>
    <xf borderId="1" fillId="11" fontId="4" numFmtId="165" xfId="0" applyAlignment="1" applyBorder="1" applyFont="1" applyNumberFormat="1">
      <alignment horizontal="center" vertical="bottom"/>
    </xf>
    <xf borderId="1" fillId="0" fontId="5" numFmtId="165" xfId="0" applyAlignment="1" applyBorder="1" applyFont="1" applyNumberFormat="1">
      <alignment horizontal="center" vertical="bottom"/>
    </xf>
    <xf borderId="1" fillId="0" fontId="16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center" vertical="center"/>
    </xf>
    <xf borderId="0" fillId="0" fontId="17" numFmtId="0" xfId="0" applyAlignment="1" applyFont="1">
      <alignment vertical="bottom"/>
    </xf>
    <xf borderId="1" fillId="0" fontId="4" numFmtId="1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165" xfId="0" applyAlignment="1" applyFont="1" applyNumberFormat="1">
      <alignment horizontal="center" readingOrder="0"/>
    </xf>
    <xf borderId="1" fillId="0" fontId="18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right" vertical="bottom"/>
    </xf>
    <xf borderId="4" fillId="0" fontId="4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theme="1"/>
      </font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nitaristathais@gmail.com" TargetMode="External"/><Relationship Id="rId2" Type="http://schemas.openxmlformats.org/officeDocument/2006/relationships/hyperlink" Target="mailto:adrianaqueirozdecampos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hidden="1" min="1" max="1" width="18.13"/>
    <col customWidth="1" min="2" max="2" width="19.13"/>
    <col customWidth="1" min="3" max="3" width="45.5"/>
    <col customWidth="1" min="4" max="4" width="21.75"/>
    <col customWidth="1" min="5" max="5" width="28.38"/>
    <col customWidth="1" min="6" max="6" width="21.5"/>
    <col customWidth="1" min="7" max="7" width="27.25"/>
    <col customWidth="1" min="8" max="8" width="10.63"/>
    <col customWidth="1" min="9" max="9" width="17.0"/>
    <col customWidth="1" min="10" max="10" width="32.63"/>
    <col customWidth="1" min="11" max="11" width="30.0"/>
    <col customWidth="1" min="12" max="12" width="40.88"/>
    <col customWidth="1" min="13" max="13" width="59.13"/>
    <col customWidth="1" min="14" max="14" width="22.88"/>
    <col customWidth="1" min="15" max="15" width="61.25"/>
    <col customWidth="1" min="16" max="16" width="25.75"/>
    <col customWidth="1" min="17" max="18" width="18.88"/>
    <col customWidth="1" min="19" max="19" width="27.0"/>
    <col customWidth="1" min="20" max="57" width="18.88"/>
  </cols>
  <sheetData>
    <row r="1" ht="36.0" customHeight="1">
      <c r="B1" s="1"/>
      <c r="C1" s="3">
        <f>SUM(E1+H1+J1)</f>
        <v>123</v>
      </c>
      <c r="D1" s="1" t="s">
        <v>3</v>
      </c>
      <c r="E1" s="3">
        <f>COUNTIF(L3:L959,"=ASSOCIADO PLENO")</f>
        <v>106</v>
      </c>
      <c r="F1" s="3"/>
      <c r="G1" s="1"/>
      <c r="H1" s="3">
        <f>COUNTIF(L3:L923,"=ASSOCIADO JÚNIOR")</f>
        <v>16</v>
      </c>
      <c r="I1" s="1"/>
      <c r="J1" s="3">
        <f>COUNTIF(L3:L923,"=ASSOCIADO VOLUNTÁRIO")</f>
        <v>1</v>
      </c>
      <c r="K1" s="3"/>
      <c r="L1" s="3"/>
      <c r="M1" s="3"/>
      <c r="N1" s="3"/>
      <c r="O1" s="3" t="s">
        <v>21</v>
      </c>
      <c r="P1" s="3">
        <v>90.0</v>
      </c>
      <c r="Q1" s="3">
        <v>60.0</v>
      </c>
      <c r="R1" s="3">
        <v>30.0</v>
      </c>
      <c r="S1" s="15"/>
      <c r="T1" s="17"/>
      <c r="U1" s="17"/>
      <c r="V1" s="17"/>
      <c r="W1" s="17"/>
      <c r="X1" s="17"/>
      <c r="Y1" s="17"/>
      <c r="Z1" s="18"/>
      <c r="AA1" s="19"/>
      <c r="AB1" s="19"/>
      <c r="AC1" s="19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r="2" ht="36.0" customHeight="1">
      <c r="B2" s="4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48</v>
      </c>
      <c r="O2" s="2" t="s">
        <v>52</v>
      </c>
      <c r="P2" s="2" t="s">
        <v>54</v>
      </c>
      <c r="Q2" s="2" t="s">
        <v>56</v>
      </c>
      <c r="R2" s="2" t="s">
        <v>57</v>
      </c>
      <c r="S2" s="16" t="s">
        <v>62</v>
      </c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</row>
    <row r="3" ht="26.25" customHeight="1">
      <c r="A3" s="40"/>
      <c r="B3" s="7" t="s">
        <v>76</v>
      </c>
      <c r="C3" s="7" t="s">
        <v>78</v>
      </c>
      <c r="D3" s="43">
        <v>26526.0</v>
      </c>
      <c r="E3" s="30" t="s">
        <v>80</v>
      </c>
      <c r="F3" s="16" t="s">
        <v>23</v>
      </c>
      <c r="G3" s="41" t="s">
        <v>24</v>
      </c>
      <c r="H3" s="16" t="s">
        <v>25</v>
      </c>
      <c r="I3" s="30" t="s">
        <v>84</v>
      </c>
      <c r="J3" s="30" t="s">
        <v>85</v>
      </c>
      <c r="K3" s="41" t="s">
        <v>29</v>
      </c>
      <c r="L3" s="16" t="s">
        <v>41</v>
      </c>
      <c r="M3" s="16" t="s">
        <v>88</v>
      </c>
      <c r="N3" s="47">
        <v>46469.0</v>
      </c>
      <c r="O3" s="49">
        <f t="shared" ref="O3:O69" si="1">N3-TODAY()</f>
        <v>226</v>
      </c>
      <c r="P3" s="50">
        <f t="shared" ref="P3:P39" si="2">N3-$P$1</f>
        <v>46379</v>
      </c>
      <c r="Q3" s="50">
        <f t="shared" ref="Q3:Q32" si="3">N3-$Q$1</f>
        <v>46409</v>
      </c>
      <c r="R3" s="51">
        <f t="shared" ref="R3:R32" si="4">N3-$R$1</f>
        <v>46439</v>
      </c>
      <c r="S3" s="30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</row>
    <row r="4" ht="15.75" customHeight="1">
      <c r="A4" s="40"/>
      <c r="B4" s="23" t="s">
        <v>76</v>
      </c>
      <c r="C4" s="53" t="s">
        <v>109</v>
      </c>
      <c r="D4" s="54">
        <v>30108.0</v>
      </c>
      <c r="E4" s="55" t="s">
        <v>114</v>
      </c>
      <c r="F4" s="55" t="s">
        <v>23</v>
      </c>
      <c r="G4" s="56" t="s">
        <v>115</v>
      </c>
      <c r="H4" s="56" t="s">
        <v>116</v>
      </c>
      <c r="I4" s="56">
        <v>6.8992239233E10</v>
      </c>
      <c r="J4" s="56" t="s">
        <v>119</v>
      </c>
      <c r="K4" s="56" t="s">
        <v>61</v>
      </c>
      <c r="L4" s="55" t="s">
        <v>41</v>
      </c>
      <c r="M4" s="55" t="s">
        <v>121</v>
      </c>
      <c r="N4" s="62">
        <v>46374.0</v>
      </c>
      <c r="O4" s="41">
        <f t="shared" si="1"/>
        <v>131</v>
      </c>
      <c r="P4" s="63">
        <f t="shared" si="2"/>
        <v>46284</v>
      </c>
      <c r="Q4" s="63">
        <f t="shared" si="3"/>
        <v>46314</v>
      </c>
      <c r="R4" s="64">
        <f t="shared" si="4"/>
        <v>46344</v>
      </c>
      <c r="S4" s="66"/>
      <c r="T4" s="67"/>
      <c r="U4" s="67"/>
      <c r="V4" s="68"/>
      <c r="W4" s="68"/>
      <c r="X4" s="68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</row>
    <row r="5" ht="22.5" customHeight="1">
      <c r="A5" s="40"/>
      <c r="B5" s="7" t="s">
        <v>76</v>
      </c>
      <c r="C5" s="74" t="s">
        <v>144</v>
      </c>
      <c r="D5" s="75">
        <v>33849.0</v>
      </c>
      <c r="E5" s="16" t="s">
        <v>147</v>
      </c>
      <c r="F5" s="16" t="s">
        <v>50</v>
      </c>
      <c r="G5" s="41" t="s">
        <v>149</v>
      </c>
      <c r="H5" s="41" t="s">
        <v>74</v>
      </c>
      <c r="I5" s="41">
        <v>6.1981583258E10</v>
      </c>
      <c r="J5" s="41" t="s">
        <v>153</v>
      </c>
      <c r="K5" s="41" t="s">
        <v>155</v>
      </c>
      <c r="L5" s="16" t="s">
        <v>41</v>
      </c>
      <c r="M5" s="41" t="s">
        <v>157</v>
      </c>
      <c r="N5" s="79">
        <v>46519.0</v>
      </c>
      <c r="O5" s="41">
        <f t="shared" si="1"/>
        <v>276</v>
      </c>
      <c r="P5" s="50">
        <f t="shared" si="2"/>
        <v>46429</v>
      </c>
      <c r="Q5" s="50">
        <f t="shared" si="3"/>
        <v>46459</v>
      </c>
      <c r="R5" s="51">
        <f t="shared" si="4"/>
        <v>46489</v>
      </c>
      <c r="S5" s="49"/>
      <c r="T5" s="52"/>
      <c r="U5" s="52"/>
      <c r="V5" s="84"/>
      <c r="W5" s="84"/>
      <c r="X5" s="84"/>
      <c r="Y5" s="31"/>
      <c r="Z5" s="31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</row>
    <row r="6" ht="15.75" customHeight="1">
      <c r="A6" s="40"/>
      <c r="B6" s="7" t="s">
        <v>76</v>
      </c>
      <c r="C6" s="74" t="s">
        <v>171</v>
      </c>
      <c r="D6" s="75">
        <v>33498.0</v>
      </c>
      <c r="E6" s="16" t="s">
        <v>175</v>
      </c>
      <c r="F6" s="16" t="s">
        <v>23</v>
      </c>
      <c r="G6" s="41" t="s">
        <v>108</v>
      </c>
      <c r="H6" s="41" t="s">
        <v>74</v>
      </c>
      <c r="I6" s="41">
        <v>6.1998247142E10</v>
      </c>
      <c r="J6" s="41" t="s">
        <v>178</v>
      </c>
      <c r="K6" s="41" t="s">
        <v>179</v>
      </c>
      <c r="L6" s="16" t="s">
        <v>41</v>
      </c>
      <c r="M6" s="41" t="s">
        <v>157</v>
      </c>
      <c r="N6" s="79">
        <v>46522.0</v>
      </c>
      <c r="O6" s="41">
        <f t="shared" si="1"/>
        <v>279</v>
      </c>
      <c r="P6" s="50">
        <f t="shared" si="2"/>
        <v>46432</v>
      </c>
      <c r="Q6" s="50">
        <f t="shared" si="3"/>
        <v>46462</v>
      </c>
      <c r="R6" s="51">
        <f t="shared" si="4"/>
        <v>46492</v>
      </c>
      <c r="S6" s="49"/>
      <c r="T6" s="52"/>
      <c r="U6" s="52"/>
      <c r="V6" s="84"/>
      <c r="W6" s="84"/>
      <c r="X6" s="84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</row>
    <row r="7" ht="15.75" customHeight="1">
      <c r="A7" s="40"/>
      <c r="B7" s="7" t="s">
        <v>76</v>
      </c>
      <c r="C7" s="25" t="s">
        <v>189</v>
      </c>
      <c r="D7" s="27">
        <v>33299.0</v>
      </c>
      <c r="E7" s="28" t="s">
        <v>192</v>
      </c>
      <c r="F7" s="30" t="s">
        <v>23</v>
      </c>
      <c r="G7" s="28" t="s">
        <v>159</v>
      </c>
      <c r="H7" s="30" t="s">
        <v>74</v>
      </c>
      <c r="I7" s="28">
        <v>6.1982416378E10</v>
      </c>
      <c r="J7" s="28" t="s">
        <v>198</v>
      </c>
      <c r="K7" s="28" t="s">
        <v>199</v>
      </c>
      <c r="L7" s="30" t="s">
        <v>33</v>
      </c>
      <c r="M7" s="30" t="s">
        <v>203</v>
      </c>
      <c r="N7" s="90">
        <v>46491.0</v>
      </c>
      <c r="O7" s="49">
        <f t="shared" si="1"/>
        <v>248</v>
      </c>
      <c r="P7" s="63">
        <f t="shared" si="2"/>
        <v>46401</v>
      </c>
      <c r="Q7" s="63">
        <f t="shared" si="3"/>
        <v>46431</v>
      </c>
      <c r="R7" s="64">
        <f t="shared" si="4"/>
        <v>46461</v>
      </c>
      <c r="S7" s="49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</row>
    <row r="8" ht="15.75" customHeight="1">
      <c r="A8" s="40"/>
      <c r="B8" s="7" t="s">
        <v>76</v>
      </c>
      <c r="C8" s="7" t="s">
        <v>227</v>
      </c>
      <c r="D8" s="79">
        <v>32755.0</v>
      </c>
      <c r="E8" s="16" t="s">
        <v>230</v>
      </c>
      <c r="F8" s="16" t="s">
        <v>50</v>
      </c>
      <c r="G8" s="30" t="s">
        <v>232</v>
      </c>
      <c r="H8" s="30" t="s">
        <v>185</v>
      </c>
      <c r="I8" s="30">
        <v>3.2998227357E10</v>
      </c>
      <c r="J8" s="30" t="s">
        <v>234</v>
      </c>
      <c r="K8" s="16" t="s">
        <v>61</v>
      </c>
      <c r="L8" s="16" t="s">
        <v>41</v>
      </c>
      <c r="M8" s="30" t="s">
        <v>238</v>
      </c>
      <c r="N8" s="47">
        <v>46404.0</v>
      </c>
      <c r="O8" s="49">
        <f t="shared" si="1"/>
        <v>161</v>
      </c>
      <c r="P8" s="50">
        <f t="shared" si="2"/>
        <v>46314</v>
      </c>
      <c r="Q8" s="50">
        <f t="shared" si="3"/>
        <v>46344</v>
      </c>
      <c r="R8" s="51">
        <f t="shared" si="4"/>
        <v>46374</v>
      </c>
      <c r="S8" s="30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</row>
    <row r="9" ht="15.75" customHeight="1">
      <c r="A9" s="40"/>
      <c r="B9" s="7" t="s">
        <v>76</v>
      </c>
      <c r="C9" s="28" t="s">
        <v>142</v>
      </c>
      <c r="D9" s="27">
        <v>33608.0</v>
      </c>
      <c r="E9" s="28" t="s">
        <v>143</v>
      </c>
      <c r="F9" s="30" t="s">
        <v>23</v>
      </c>
      <c r="G9" s="30" t="s">
        <v>108</v>
      </c>
      <c r="H9" s="30" t="s">
        <v>74</v>
      </c>
      <c r="I9" s="28">
        <v>6.1993779162E10</v>
      </c>
      <c r="J9" s="28" t="s">
        <v>145</v>
      </c>
      <c r="K9" s="28" t="s">
        <v>111</v>
      </c>
      <c r="L9" s="30" t="s">
        <v>41</v>
      </c>
      <c r="M9" s="28" t="s">
        <v>148</v>
      </c>
      <c r="N9" s="47">
        <v>46583.0</v>
      </c>
      <c r="O9" s="49">
        <f t="shared" si="1"/>
        <v>340</v>
      </c>
      <c r="P9" s="50">
        <f t="shared" si="2"/>
        <v>46493</v>
      </c>
      <c r="Q9" s="50">
        <f t="shared" si="3"/>
        <v>46523</v>
      </c>
      <c r="R9" s="51">
        <f t="shared" si="4"/>
        <v>46553</v>
      </c>
      <c r="S9" s="49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</row>
    <row r="10" ht="15.75" customHeight="1">
      <c r="A10" s="40"/>
      <c r="B10" s="7" t="s">
        <v>76</v>
      </c>
      <c r="C10" s="74" t="s">
        <v>259</v>
      </c>
      <c r="D10" s="75">
        <v>34222.0</v>
      </c>
      <c r="E10" s="16" t="s">
        <v>260</v>
      </c>
      <c r="F10" s="16" t="s">
        <v>23</v>
      </c>
      <c r="G10" s="41" t="s">
        <v>159</v>
      </c>
      <c r="H10" s="41" t="s">
        <v>74</v>
      </c>
      <c r="I10" s="41">
        <v>6.199847258E10</v>
      </c>
      <c r="J10" s="41" t="s">
        <v>263</v>
      </c>
      <c r="K10" s="41" t="s">
        <v>29</v>
      </c>
      <c r="L10" s="16" t="s">
        <v>41</v>
      </c>
      <c r="M10" s="41" t="s">
        <v>157</v>
      </c>
      <c r="N10" s="79">
        <v>46752.0</v>
      </c>
      <c r="O10" s="41">
        <f t="shared" si="1"/>
        <v>509</v>
      </c>
      <c r="P10" s="50">
        <f t="shared" si="2"/>
        <v>46662</v>
      </c>
      <c r="Q10" s="50">
        <f t="shared" si="3"/>
        <v>46692</v>
      </c>
      <c r="R10" s="51">
        <f t="shared" si="4"/>
        <v>46722</v>
      </c>
      <c r="S10" s="49"/>
      <c r="T10" s="52"/>
      <c r="U10" s="52"/>
      <c r="V10" s="84"/>
      <c r="W10" s="84"/>
      <c r="X10" s="84"/>
      <c r="Y10" s="31"/>
      <c r="Z10" s="31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</row>
    <row r="11" ht="18.75" customHeight="1">
      <c r="A11" s="40"/>
      <c r="B11" s="7" t="s">
        <v>76</v>
      </c>
      <c r="C11" s="74" t="s">
        <v>281</v>
      </c>
      <c r="D11" s="75">
        <v>35042.0</v>
      </c>
      <c r="E11" s="16" t="s">
        <v>283</v>
      </c>
      <c r="F11" s="16" t="s">
        <v>23</v>
      </c>
      <c r="G11" s="41" t="s">
        <v>149</v>
      </c>
      <c r="H11" s="41" t="s">
        <v>74</v>
      </c>
      <c r="I11" s="41">
        <v>8.1984105912E10</v>
      </c>
      <c r="J11" s="41" t="s">
        <v>286</v>
      </c>
      <c r="K11" s="41" t="s">
        <v>61</v>
      </c>
      <c r="L11" s="16" t="s">
        <v>41</v>
      </c>
      <c r="M11" s="41" t="s">
        <v>288</v>
      </c>
      <c r="N11" s="79">
        <v>46339.0</v>
      </c>
      <c r="O11" s="41">
        <f t="shared" si="1"/>
        <v>96</v>
      </c>
      <c r="P11" s="50">
        <f t="shared" si="2"/>
        <v>46249</v>
      </c>
      <c r="Q11" s="50">
        <f t="shared" si="3"/>
        <v>46279</v>
      </c>
      <c r="R11" s="51">
        <f t="shared" si="4"/>
        <v>46309</v>
      </c>
      <c r="S11" s="49"/>
      <c r="T11" s="52"/>
      <c r="U11" s="52"/>
      <c r="V11" s="84"/>
      <c r="W11" s="84"/>
      <c r="X11" s="84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5.75" customHeight="1">
      <c r="A12" s="40"/>
      <c r="B12" s="7" t="s">
        <v>76</v>
      </c>
      <c r="C12" s="74" t="s">
        <v>300</v>
      </c>
      <c r="D12" s="75">
        <v>33558.0</v>
      </c>
      <c r="E12" s="16" t="s">
        <v>302</v>
      </c>
      <c r="F12" s="16" t="s">
        <v>50</v>
      </c>
      <c r="G12" s="41" t="s">
        <v>149</v>
      </c>
      <c r="H12" s="41" t="s">
        <v>74</v>
      </c>
      <c r="I12" s="41">
        <v>6.1983517667E10</v>
      </c>
      <c r="J12" s="41" t="s">
        <v>303</v>
      </c>
      <c r="K12" s="41" t="s">
        <v>155</v>
      </c>
      <c r="L12" s="16" t="s">
        <v>41</v>
      </c>
      <c r="M12" s="41" t="s">
        <v>157</v>
      </c>
      <c r="N12" s="79">
        <v>46519.0</v>
      </c>
      <c r="O12" s="41">
        <f t="shared" si="1"/>
        <v>276</v>
      </c>
      <c r="P12" s="50">
        <f t="shared" si="2"/>
        <v>46429</v>
      </c>
      <c r="Q12" s="50">
        <f t="shared" si="3"/>
        <v>46459</v>
      </c>
      <c r="R12" s="51">
        <f t="shared" si="4"/>
        <v>46489</v>
      </c>
      <c r="S12" s="49"/>
      <c r="T12" s="52"/>
      <c r="U12" s="52"/>
      <c r="V12" s="84"/>
      <c r="W12" s="84"/>
      <c r="X12" s="84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</row>
    <row r="13" ht="15.75" customHeight="1">
      <c r="A13" s="40"/>
      <c r="B13" s="7" t="s">
        <v>76</v>
      </c>
      <c r="C13" s="102" t="s">
        <v>304</v>
      </c>
      <c r="D13" s="27">
        <v>30075.0</v>
      </c>
      <c r="E13" s="102" t="s">
        <v>305</v>
      </c>
      <c r="F13" s="102" t="s">
        <v>50</v>
      </c>
      <c r="G13" s="30" t="s">
        <v>306</v>
      </c>
      <c r="H13" s="30" t="s">
        <v>25</v>
      </c>
      <c r="I13" s="28">
        <v>5.1996429366E10</v>
      </c>
      <c r="J13" s="28" t="s">
        <v>307</v>
      </c>
      <c r="K13" s="30" t="s">
        <v>29</v>
      </c>
      <c r="L13" s="30" t="s">
        <v>41</v>
      </c>
      <c r="M13" s="28" t="s">
        <v>88</v>
      </c>
      <c r="N13" s="47">
        <v>46523.0</v>
      </c>
      <c r="O13" s="49">
        <f t="shared" si="1"/>
        <v>280</v>
      </c>
      <c r="P13" s="50">
        <f t="shared" si="2"/>
        <v>46433</v>
      </c>
      <c r="Q13" s="50">
        <f t="shared" si="3"/>
        <v>46463</v>
      </c>
      <c r="R13" s="51">
        <f t="shared" si="4"/>
        <v>46493</v>
      </c>
      <c r="S13" s="49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</row>
    <row r="14" ht="15.75" hidden="1" customHeight="1">
      <c r="A14" s="100">
        <v>100063.0</v>
      </c>
      <c r="B14" s="58" t="s">
        <v>18</v>
      </c>
      <c r="C14" s="60" t="s">
        <v>20</v>
      </c>
      <c r="D14" s="106">
        <v>34984.0</v>
      </c>
      <c r="E14" s="107" t="s">
        <v>22</v>
      </c>
      <c r="F14" s="61" t="s">
        <v>23</v>
      </c>
      <c r="G14" s="60" t="s">
        <v>309</v>
      </c>
      <c r="H14" s="109" t="s">
        <v>28</v>
      </c>
      <c r="I14" s="98">
        <v>7.19991462772E11</v>
      </c>
      <c r="J14" s="98" t="s">
        <v>30</v>
      </c>
      <c r="K14" s="112" t="s">
        <v>29</v>
      </c>
      <c r="L14" s="61" t="s">
        <v>33</v>
      </c>
      <c r="M14" s="61" t="s">
        <v>311</v>
      </c>
      <c r="N14" s="65">
        <v>45787.0</v>
      </c>
      <c r="O14" s="70">
        <f t="shared" si="1"/>
        <v>-456</v>
      </c>
      <c r="P14" s="50">
        <f t="shared" si="2"/>
        <v>45697</v>
      </c>
      <c r="Q14" s="50">
        <f t="shared" si="3"/>
        <v>45727</v>
      </c>
      <c r="R14" s="51">
        <f t="shared" si="4"/>
        <v>45757</v>
      </c>
      <c r="S14" s="70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</row>
    <row r="15" ht="15.75" hidden="1" customHeight="1">
      <c r="A15" s="100">
        <v>100064.0</v>
      </c>
      <c r="B15" s="58" t="s">
        <v>18</v>
      </c>
      <c r="C15" s="9" t="s">
        <v>49</v>
      </c>
      <c r="D15" s="106">
        <v>32823.0</v>
      </c>
      <c r="E15" s="107" t="s">
        <v>60</v>
      </c>
      <c r="F15" s="61" t="s">
        <v>23</v>
      </c>
      <c r="G15" s="60" t="s">
        <v>313</v>
      </c>
      <c r="H15" s="109" t="s">
        <v>66</v>
      </c>
      <c r="I15" s="98">
        <v>2.1999340016E10</v>
      </c>
      <c r="J15" s="98" t="s">
        <v>67</v>
      </c>
      <c r="K15" s="16" t="s">
        <v>179</v>
      </c>
      <c r="L15" s="115" t="s">
        <v>41</v>
      </c>
      <c r="M15" s="61" t="s">
        <v>314</v>
      </c>
      <c r="N15" s="65">
        <v>46051.0</v>
      </c>
      <c r="O15" s="70">
        <f t="shared" si="1"/>
        <v>-192</v>
      </c>
      <c r="P15" s="50">
        <f t="shared" si="2"/>
        <v>45961</v>
      </c>
      <c r="Q15" s="50">
        <f t="shared" si="3"/>
        <v>45991</v>
      </c>
      <c r="R15" s="51">
        <f t="shared" si="4"/>
        <v>46021</v>
      </c>
      <c r="S15" s="70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</row>
    <row r="16" ht="15.75" customHeight="1">
      <c r="A16" s="40"/>
      <c r="B16" s="7" t="s">
        <v>76</v>
      </c>
      <c r="C16" s="28" t="s">
        <v>316</v>
      </c>
      <c r="D16" s="47">
        <v>27896.0</v>
      </c>
      <c r="E16" s="28">
        <v>6.1450170234E10</v>
      </c>
      <c r="F16" s="30" t="s">
        <v>50</v>
      </c>
      <c r="G16" s="30" t="s">
        <v>317</v>
      </c>
      <c r="H16" s="30" t="s">
        <v>38</v>
      </c>
      <c r="I16" s="30">
        <v>9.7984100497E10</v>
      </c>
      <c r="J16" s="30" t="s">
        <v>318</v>
      </c>
      <c r="K16" s="30" t="s">
        <v>29</v>
      </c>
      <c r="L16" s="30" t="s">
        <v>41</v>
      </c>
      <c r="M16" s="30" t="s">
        <v>320</v>
      </c>
      <c r="N16" s="47">
        <v>46501.0</v>
      </c>
      <c r="O16" s="49">
        <f t="shared" si="1"/>
        <v>258</v>
      </c>
      <c r="P16" s="50">
        <f t="shared" si="2"/>
        <v>46411</v>
      </c>
      <c r="Q16" s="50">
        <f t="shared" si="3"/>
        <v>46441</v>
      </c>
      <c r="R16" s="51">
        <f t="shared" si="4"/>
        <v>46471</v>
      </c>
      <c r="S16" s="30" t="s">
        <v>322</v>
      </c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</row>
    <row r="17" ht="15.75" hidden="1" customHeight="1">
      <c r="A17" s="100">
        <v>100066.0</v>
      </c>
      <c r="B17" s="58" t="s">
        <v>18</v>
      </c>
      <c r="C17" s="9" t="s">
        <v>70</v>
      </c>
      <c r="D17" s="106">
        <v>32747.0</v>
      </c>
      <c r="E17" s="109" t="s">
        <v>71</v>
      </c>
      <c r="F17" s="61" t="s">
        <v>50</v>
      </c>
      <c r="G17" s="61" t="s">
        <v>159</v>
      </c>
      <c r="H17" s="61" t="s">
        <v>74</v>
      </c>
      <c r="I17" s="98" t="s">
        <v>79</v>
      </c>
      <c r="J17" s="61" t="s">
        <v>87</v>
      </c>
      <c r="K17" s="61" t="s">
        <v>323</v>
      </c>
      <c r="L17" s="61" t="s">
        <v>41</v>
      </c>
      <c r="M17" s="61" t="s">
        <v>87</v>
      </c>
      <c r="N17" s="65">
        <v>45810.0</v>
      </c>
      <c r="O17" s="70">
        <f t="shared" si="1"/>
        <v>-433</v>
      </c>
      <c r="P17" s="50">
        <f t="shared" si="2"/>
        <v>45720</v>
      </c>
      <c r="Q17" s="50">
        <f t="shared" si="3"/>
        <v>45750</v>
      </c>
      <c r="R17" s="51">
        <f t="shared" si="4"/>
        <v>45780</v>
      </c>
      <c r="S17" s="70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</row>
    <row r="18" ht="15.75" customHeight="1">
      <c r="A18" s="40"/>
      <c r="B18" s="7" t="s">
        <v>76</v>
      </c>
      <c r="C18" s="102" t="s">
        <v>151</v>
      </c>
      <c r="D18" s="77">
        <v>33717.0</v>
      </c>
      <c r="E18" s="78" t="s">
        <v>156</v>
      </c>
      <c r="F18" s="30" t="s">
        <v>50</v>
      </c>
      <c r="G18" s="30" t="s">
        <v>159</v>
      </c>
      <c r="H18" s="30" t="s">
        <v>74</v>
      </c>
      <c r="I18" s="28" t="s">
        <v>161</v>
      </c>
      <c r="J18" s="30" t="s">
        <v>162</v>
      </c>
      <c r="K18" s="30" t="s">
        <v>164</v>
      </c>
      <c r="L18" s="30" t="s">
        <v>41</v>
      </c>
      <c r="M18" s="30" t="s">
        <v>113</v>
      </c>
      <c r="N18" s="47">
        <v>46213.0</v>
      </c>
      <c r="O18" s="49">
        <f t="shared" si="1"/>
        <v>-30</v>
      </c>
      <c r="P18" s="50">
        <f t="shared" si="2"/>
        <v>46123</v>
      </c>
      <c r="Q18" s="50">
        <f t="shared" si="3"/>
        <v>46153</v>
      </c>
      <c r="R18" s="51">
        <f t="shared" si="4"/>
        <v>46183</v>
      </c>
      <c r="S18" s="49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</row>
    <row r="19" ht="15.75" customHeight="1">
      <c r="A19" s="40"/>
      <c r="B19" s="7" t="s">
        <v>76</v>
      </c>
      <c r="C19" s="102" t="s">
        <v>325</v>
      </c>
      <c r="D19" s="77">
        <v>36688.0</v>
      </c>
      <c r="E19" s="78" t="s">
        <v>326</v>
      </c>
      <c r="F19" s="30" t="s">
        <v>23</v>
      </c>
      <c r="G19" s="30" t="s">
        <v>149</v>
      </c>
      <c r="H19" s="30" t="s">
        <v>74</v>
      </c>
      <c r="I19" s="30">
        <v>6.1994245885E10</v>
      </c>
      <c r="J19" s="30" t="s">
        <v>328</v>
      </c>
      <c r="K19" s="30" t="s">
        <v>29</v>
      </c>
      <c r="L19" s="30" t="s">
        <v>41</v>
      </c>
      <c r="M19" s="30" t="s">
        <v>113</v>
      </c>
      <c r="N19" s="117">
        <v>46326.0</v>
      </c>
      <c r="O19" s="49">
        <f t="shared" si="1"/>
        <v>83</v>
      </c>
      <c r="P19" s="63">
        <f t="shared" si="2"/>
        <v>46236</v>
      </c>
      <c r="Q19" s="63">
        <f t="shared" si="3"/>
        <v>46266</v>
      </c>
      <c r="R19" s="64">
        <f t="shared" si="4"/>
        <v>46296</v>
      </c>
      <c r="S19" s="49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</row>
    <row r="20" ht="15.75" customHeight="1">
      <c r="A20" s="40"/>
      <c r="B20" s="7" t="s">
        <v>76</v>
      </c>
      <c r="C20" s="102" t="s">
        <v>331</v>
      </c>
      <c r="D20" s="77">
        <v>32869.0</v>
      </c>
      <c r="E20" s="78" t="s">
        <v>332</v>
      </c>
      <c r="F20" s="30" t="s">
        <v>50</v>
      </c>
      <c r="G20" s="30" t="s">
        <v>170</v>
      </c>
      <c r="H20" s="30" t="s">
        <v>172</v>
      </c>
      <c r="I20" s="30" t="s">
        <v>333</v>
      </c>
      <c r="J20" s="30" t="s">
        <v>334</v>
      </c>
      <c r="K20" s="30" t="s">
        <v>87</v>
      </c>
      <c r="L20" s="30" t="s">
        <v>41</v>
      </c>
      <c r="M20" s="30" t="s">
        <v>87</v>
      </c>
      <c r="N20" s="47">
        <v>46328.0</v>
      </c>
      <c r="O20" s="49">
        <f t="shared" si="1"/>
        <v>85</v>
      </c>
      <c r="P20" s="50">
        <f t="shared" si="2"/>
        <v>46238</v>
      </c>
      <c r="Q20" s="50">
        <f t="shared" si="3"/>
        <v>46268</v>
      </c>
      <c r="R20" s="51">
        <f t="shared" si="4"/>
        <v>46298</v>
      </c>
      <c r="S20" s="49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</row>
    <row r="21" ht="15.75" customHeight="1">
      <c r="A21" s="40"/>
      <c r="B21" s="7" t="s">
        <v>76</v>
      </c>
      <c r="C21" s="102" t="s">
        <v>336</v>
      </c>
      <c r="D21" s="77">
        <v>34311.0</v>
      </c>
      <c r="E21" s="78" t="s">
        <v>337</v>
      </c>
      <c r="F21" s="30" t="s">
        <v>23</v>
      </c>
      <c r="G21" s="30" t="s">
        <v>149</v>
      </c>
      <c r="H21" s="30" t="s">
        <v>74</v>
      </c>
      <c r="I21" s="30" t="s">
        <v>338</v>
      </c>
      <c r="J21" s="30" t="s">
        <v>340</v>
      </c>
      <c r="K21" s="30" t="s">
        <v>87</v>
      </c>
      <c r="L21" s="30" t="s">
        <v>41</v>
      </c>
      <c r="M21" s="30" t="s">
        <v>87</v>
      </c>
      <c r="N21" s="47">
        <v>46328.0</v>
      </c>
      <c r="O21" s="49">
        <f t="shared" si="1"/>
        <v>85</v>
      </c>
      <c r="P21" s="50">
        <f t="shared" si="2"/>
        <v>46238</v>
      </c>
      <c r="Q21" s="50">
        <f t="shared" si="3"/>
        <v>46268</v>
      </c>
      <c r="R21" s="51">
        <f t="shared" si="4"/>
        <v>46298</v>
      </c>
      <c r="S21" s="49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</row>
    <row r="22" ht="15.0" customHeight="1">
      <c r="A22" s="40"/>
      <c r="B22" s="7" t="s">
        <v>76</v>
      </c>
      <c r="C22" s="78" t="s">
        <v>341</v>
      </c>
      <c r="D22" s="77">
        <v>30800.0</v>
      </c>
      <c r="E22" s="78" t="s">
        <v>342</v>
      </c>
      <c r="F22" s="30" t="s">
        <v>23</v>
      </c>
      <c r="G22" s="30" t="s">
        <v>343</v>
      </c>
      <c r="H22" s="30" t="s">
        <v>139</v>
      </c>
      <c r="I22" s="30" t="s">
        <v>344</v>
      </c>
      <c r="J22" s="30" t="s">
        <v>345</v>
      </c>
      <c r="K22" s="30" t="s">
        <v>87</v>
      </c>
      <c r="L22" s="30" t="s">
        <v>41</v>
      </c>
      <c r="M22" s="30" t="s">
        <v>87</v>
      </c>
      <c r="N22" s="117">
        <v>46338.0</v>
      </c>
      <c r="O22" s="49">
        <f t="shared" si="1"/>
        <v>95</v>
      </c>
      <c r="P22" s="63">
        <f t="shared" si="2"/>
        <v>46248</v>
      </c>
      <c r="Q22" s="63">
        <f t="shared" si="3"/>
        <v>46278</v>
      </c>
      <c r="R22" s="64">
        <f t="shared" si="4"/>
        <v>46308</v>
      </c>
      <c r="S22" s="49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</row>
    <row r="23" ht="18.75" customHeight="1">
      <c r="A23" s="40"/>
      <c r="B23" s="7" t="s">
        <v>76</v>
      </c>
      <c r="C23" s="102" t="s">
        <v>348</v>
      </c>
      <c r="D23" s="77">
        <v>33921.0</v>
      </c>
      <c r="E23" s="78" t="s">
        <v>349</v>
      </c>
      <c r="F23" s="30" t="s">
        <v>23</v>
      </c>
      <c r="G23" s="30" t="s">
        <v>350</v>
      </c>
      <c r="H23" s="30" t="s">
        <v>66</v>
      </c>
      <c r="I23" s="30" t="s">
        <v>351</v>
      </c>
      <c r="J23" s="30" t="s">
        <v>352</v>
      </c>
      <c r="K23" s="30" t="s">
        <v>87</v>
      </c>
      <c r="L23" s="30" t="s">
        <v>41</v>
      </c>
      <c r="M23" s="30" t="s">
        <v>87</v>
      </c>
      <c r="N23" s="47">
        <v>46357.0</v>
      </c>
      <c r="O23" s="49">
        <f t="shared" si="1"/>
        <v>114</v>
      </c>
      <c r="P23" s="50">
        <f t="shared" si="2"/>
        <v>46267</v>
      </c>
      <c r="Q23" s="50">
        <f t="shared" si="3"/>
        <v>46297</v>
      </c>
      <c r="R23" s="51">
        <f t="shared" si="4"/>
        <v>46327</v>
      </c>
      <c r="S23" s="49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</row>
    <row r="24" ht="15.75" customHeight="1">
      <c r="A24" s="40"/>
      <c r="B24" s="7" t="s">
        <v>76</v>
      </c>
      <c r="C24" s="78" t="s">
        <v>347</v>
      </c>
      <c r="D24" s="77">
        <v>32907.0</v>
      </c>
      <c r="E24" s="78">
        <v>1.2767738707E10</v>
      </c>
      <c r="F24" s="30" t="s">
        <v>23</v>
      </c>
      <c r="G24" s="30" t="s">
        <v>149</v>
      </c>
      <c r="H24" s="30" t="s">
        <v>74</v>
      </c>
      <c r="I24" s="30">
        <v>6.19967887E10</v>
      </c>
      <c r="J24" s="30" t="s">
        <v>356</v>
      </c>
      <c r="K24" s="30" t="s">
        <v>357</v>
      </c>
      <c r="L24" s="30" t="s">
        <v>41</v>
      </c>
      <c r="M24" s="30" t="s">
        <v>358</v>
      </c>
      <c r="N24" s="47">
        <v>46365.0</v>
      </c>
      <c r="O24" s="49">
        <f t="shared" si="1"/>
        <v>122</v>
      </c>
      <c r="P24" s="50">
        <f t="shared" si="2"/>
        <v>46275</v>
      </c>
      <c r="Q24" s="50">
        <f t="shared" si="3"/>
        <v>46305</v>
      </c>
      <c r="R24" s="51">
        <f t="shared" si="4"/>
        <v>46335</v>
      </c>
      <c r="S24" s="49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</row>
    <row r="25" ht="15.75" customHeight="1">
      <c r="A25" s="40"/>
      <c r="B25" s="7" t="s">
        <v>76</v>
      </c>
      <c r="C25" s="102" t="s">
        <v>360</v>
      </c>
      <c r="D25" s="77">
        <v>32816.0</v>
      </c>
      <c r="E25" s="78" t="s">
        <v>361</v>
      </c>
      <c r="F25" s="30" t="s">
        <v>23</v>
      </c>
      <c r="G25" s="30" t="s">
        <v>362</v>
      </c>
      <c r="H25" s="30" t="s">
        <v>185</v>
      </c>
      <c r="I25" s="30" t="s">
        <v>363</v>
      </c>
      <c r="J25" s="30" t="s">
        <v>87</v>
      </c>
      <c r="K25" s="30" t="s">
        <v>87</v>
      </c>
      <c r="L25" s="30" t="s">
        <v>41</v>
      </c>
      <c r="M25" s="30" t="s">
        <v>87</v>
      </c>
      <c r="N25" s="47">
        <v>46365.0</v>
      </c>
      <c r="O25" s="49">
        <f t="shared" si="1"/>
        <v>122</v>
      </c>
      <c r="P25" s="50">
        <f t="shared" si="2"/>
        <v>46275</v>
      </c>
      <c r="Q25" s="50">
        <f t="shared" si="3"/>
        <v>46305</v>
      </c>
      <c r="R25" s="51">
        <f t="shared" si="4"/>
        <v>46335</v>
      </c>
      <c r="S25" s="49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</row>
    <row r="26" ht="15.75" customHeight="1">
      <c r="A26" s="40"/>
      <c r="B26" s="7" t="s">
        <v>76</v>
      </c>
      <c r="C26" s="78" t="s">
        <v>366</v>
      </c>
      <c r="D26" s="77">
        <v>32928.0</v>
      </c>
      <c r="E26" s="78" t="s">
        <v>368</v>
      </c>
      <c r="F26" s="30" t="s">
        <v>50</v>
      </c>
      <c r="G26" s="30" t="s">
        <v>149</v>
      </c>
      <c r="H26" s="30" t="s">
        <v>74</v>
      </c>
      <c r="I26" s="30" t="s">
        <v>371</v>
      </c>
      <c r="J26" s="30" t="s">
        <v>87</v>
      </c>
      <c r="K26" s="30" t="s">
        <v>87</v>
      </c>
      <c r="L26" s="30" t="s">
        <v>41</v>
      </c>
      <c r="M26" s="30" t="s">
        <v>87</v>
      </c>
      <c r="N26" s="47">
        <v>46365.0</v>
      </c>
      <c r="O26" s="49">
        <f t="shared" si="1"/>
        <v>122</v>
      </c>
      <c r="P26" s="50">
        <f t="shared" si="2"/>
        <v>46275</v>
      </c>
      <c r="Q26" s="50">
        <f t="shared" si="3"/>
        <v>46305</v>
      </c>
      <c r="R26" s="51">
        <f t="shared" si="4"/>
        <v>46335</v>
      </c>
      <c r="S26" s="49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</row>
    <row r="27" ht="15.75" customHeight="1">
      <c r="A27" s="40"/>
      <c r="B27" s="7" t="s">
        <v>76</v>
      </c>
      <c r="C27" s="102" t="s">
        <v>372</v>
      </c>
      <c r="D27" s="77">
        <v>36465.0</v>
      </c>
      <c r="E27" s="78" t="s">
        <v>373</v>
      </c>
      <c r="F27" s="30" t="s">
        <v>50</v>
      </c>
      <c r="G27" s="30" t="s">
        <v>149</v>
      </c>
      <c r="H27" s="30" t="s">
        <v>74</v>
      </c>
      <c r="I27" s="30" t="s">
        <v>374</v>
      </c>
      <c r="J27" s="30" t="s">
        <v>375</v>
      </c>
      <c r="K27" s="30" t="s">
        <v>87</v>
      </c>
      <c r="L27" s="30" t="s">
        <v>33</v>
      </c>
      <c r="M27" s="30" t="s">
        <v>87</v>
      </c>
      <c r="N27" s="47">
        <v>46334.0</v>
      </c>
      <c r="O27" s="49">
        <f t="shared" si="1"/>
        <v>91</v>
      </c>
      <c r="P27" s="50">
        <f t="shared" si="2"/>
        <v>46244</v>
      </c>
      <c r="Q27" s="50">
        <f t="shared" si="3"/>
        <v>46274</v>
      </c>
      <c r="R27" s="51">
        <f t="shared" si="4"/>
        <v>46304</v>
      </c>
      <c r="S27" s="49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</row>
    <row r="28" ht="15.75" customHeight="1">
      <c r="A28" s="40"/>
      <c r="B28" s="7" t="s">
        <v>76</v>
      </c>
      <c r="C28" s="102" t="s">
        <v>376</v>
      </c>
      <c r="D28" s="77">
        <v>33145.0</v>
      </c>
      <c r="E28" s="78" t="s">
        <v>377</v>
      </c>
      <c r="F28" s="30" t="s">
        <v>23</v>
      </c>
      <c r="G28" s="30" t="s">
        <v>378</v>
      </c>
      <c r="H28" s="30" t="s">
        <v>74</v>
      </c>
      <c r="I28" s="30" t="s">
        <v>379</v>
      </c>
      <c r="J28" s="30" t="s">
        <v>380</v>
      </c>
      <c r="K28" s="30" t="s">
        <v>87</v>
      </c>
      <c r="L28" s="30" t="s">
        <v>41</v>
      </c>
      <c r="M28" s="30" t="s">
        <v>87</v>
      </c>
      <c r="N28" s="47">
        <v>46409.0</v>
      </c>
      <c r="O28" s="49">
        <f t="shared" si="1"/>
        <v>166</v>
      </c>
      <c r="P28" s="50">
        <f t="shared" si="2"/>
        <v>46319</v>
      </c>
      <c r="Q28" s="50">
        <f t="shared" si="3"/>
        <v>46349</v>
      </c>
      <c r="R28" s="51">
        <f t="shared" si="4"/>
        <v>46379</v>
      </c>
      <c r="S28" s="49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</row>
    <row r="29" ht="15.75" customHeight="1">
      <c r="A29" s="40"/>
      <c r="B29" s="7" t="s">
        <v>76</v>
      </c>
      <c r="C29" s="128" t="s">
        <v>381</v>
      </c>
      <c r="D29" s="77">
        <v>34449.0</v>
      </c>
      <c r="E29" s="78" t="s">
        <v>382</v>
      </c>
      <c r="F29" s="30" t="s">
        <v>50</v>
      </c>
      <c r="G29" s="129" t="s">
        <v>383</v>
      </c>
      <c r="H29" s="129" t="s">
        <v>384</v>
      </c>
      <c r="I29" s="30" t="s">
        <v>385</v>
      </c>
      <c r="J29" s="30" t="s">
        <v>386</v>
      </c>
      <c r="K29" s="30" t="s">
        <v>387</v>
      </c>
      <c r="L29" s="30" t="s">
        <v>41</v>
      </c>
      <c r="M29" s="30" t="s">
        <v>388</v>
      </c>
      <c r="N29" s="47">
        <v>46365.0</v>
      </c>
      <c r="O29" s="49">
        <f t="shared" si="1"/>
        <v>122</v>
      </c>
      <c r="P29" s="50">
        <f t="shared" si="2"/>
        <v>46275</v>
      </c>
      <c r="Q29" s="50">
        <f t="shared" si="3"/>
        <v>46305</v>
      </c>
      <c r="R29" s="51">
        <f t="shared" si="4"/>
        <v>46335</v>
      </c>
      <c r="S29" s="49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</row>
    <row r="30" ht="15.75" customHeight="1">
      <c r="A30" s="40"/>
      <c r="B30" s="7" t="s">
        <v>76</v>
      </c>
      <c r="C30" s="102" t="s">
        <v>389</v>
      </c>
      <c r="D30" s="77">
        <v>34021.0</v>
      </c>
      <c r="E30" s="28" t="s">
        <v>390</v>
      </c>
      <c r="F30" s="30" t="s">
        <v>50</v>
      </c>
      <c r="G30" s="30" t="s">
        <v>149</v>
      </c>
      <c r="H30" s="30" t="s">
        <v>74</v>
      </c>
      <c r="I30" s="30" t="s">
        <v>391</v>
      </c>
      <c r="J30" s="30" t="s">
        <v>392</v>
      </c>
      <c r="K30" s="30" t="s">
        <v>87</v>
      </c>
      <c r="L30" s="30" t="s">
        <v>33</v>
      </c>
      <c r="M30" s="30" t="s">
        <v>87</v>
      </c>
      <c r="N30" s="47">
        <v>46389.0</v>
      </c>
      <c r="O30" s="49">
        <f t="shared" si="1"/>
        <v>146</v>
      </c>
      <c r="P30" s="50">
        <f t="shared" si="2"/>
        <v>46299</v>
      </c>
      <c r="Q30" s="50">
        <f t="shared" si="3"/>
        <v>46329</v>
      </c>
      <c r="R30" s="51">
        <f t="shared" si="4"/>
        <v>46359</v>
      </c>
      <c r="S30" s="49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</row>
    <row r="31" hidden="1">
      <c r="A31" s="41">
        <v>100016.0</v>
      </c>
      <c r="B31" s="7" t="s">
        <v>18</v>
      </c>
      <c r="C31" s="74" t="s">
        <v>393</v>
      </c>
      <c r="D31" s="75">
        <v>32864.0</v>
      </c>
      <c r="E31" s="130" t="s">
        <v>394</v>
      </c>
      <c r="F31" s="16" t="s">
        <v>23</v>
      </c>
      <c r="G31" s="41" t="s">
        <v>108</v>
      </c>
      <c r="H31" s="41" t="s">
        <v>74</v>
      </c>
      <c r="I31" s="41">
        <v>6.1999872075E10</v>
      </c>
      <c r="J31" s="41" t="s">
        <v>395</v>
      </c>
      <c r="K31" s="41" t="s">
        <v>111</v>
      </c>
      <c r="L31" s="16" t="s">
        <v>41</v>
      </c>
      <c r="M31" s="41" t="s">
        <v>157</v>
      </c>
      <c r="N31" s="79">
        <v>44673.0</v>
      </c>
      <c r="O31" s="41">
        <f t="shared" si="1"/>
        <v>-1570</v>
      </c>
      <c r="P31" s="50">
        <f t="shared" si="2"/>
        <v>44583</v>
      </c>
      <c r="Q31" s="50">
        <f t="shared" si="3"/>
        <v>44613</v>
      </c>
      <c r="R31" s="51">
        <f t="shared" si="4"/>
        <v>44643</v>
      </c>
      <c r="S31" s="49"/>
      <c r="T31" s="52"/>
      <c r="U31" s="52"/>
      <c r="V31" s="84"/>
      <c r="W31" s="84"/>
      <c r="X31" s="84"/>
      <c r="Y31" s="31"/>
      <c r="Z31" s="31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</row>
    <row r="32" ht="15.75" hidden="1" customHeight="1">
      <c r="A32" s="41">
        <v>100021.0</v>
      </c>
      <c r="B32" s="7" t="s">
        <v>18</v>
      </c>
      <c r="C32" s="74" t="s">
        <v>396</v>
      </c>
      <c r="D32" s="75">
        <v>30966.0</v>
      </c>
      <c r="E32" s="41">
        <v>8.3368035215E10</v>
      </c>
      <c r="F32" s="16" t="s">
        <v>50</v>
      </c>
      <c r="G32" s="41" t="s">
        <v>397</v>
      </c>
      <c r="H32" s="41" t="s">
        <v>38</v>
      </c>
      <c r="I32" s="41">
        <v>9.7991746587E10</v>
      </c>
      <c r="J32" s="16" t="s">
        <v>398</v>
      </c>
      <c r="K32" s="41" t="s">
        <v>29</v>
      </c>
      <c r="L32" s="16" t="s">
        <v>41</v>
      </c>
      <c r="M32" s="41" t="s">
        <v>399</v>
      </c>
      <c r="N32" s="79">
        <v>44362.0</v>
      </c>
      <c r="O32" s="41">
        <f t="shared" si="1"/>
        <v>-1881</v>
      </c>
      <c r="P32" s="50">
        <f t="shared" si="2"/>
        <v>44272</v>
      </c>
      <c r="Q32" s="50">
        <f t="shared" si="3"/>
        <v>44302</v>
      </c>
      <c r="R32" s="51">
        <f t="shared" si="4"/>
        <v>44332</v>
      </c>
      <c r="S32" s="49"/>
      <c r="T32" s="52"/>
      <c r="U32" s="52"/>
      <c r="V32" s="84"/>
      <c r="W32" s="84"/>
      <c r="X32" s="84"/>
      <c r="Y32" s="31"/>
      <c r="Z32" s="31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</row>
    <row r="33" ht="15.75" customHeight="1">
      <c r="A33" s="40"/>
      <c r="B33" s="7" t="s">
        <v>76</v>
      </c>
      <c r="C33" s="25" t="s">
        <v>94</v>
      </c>
      <c r="D33" s="43">
        <v>29252.0</v>
      </c>
      <c r="E33" s="30" t="s">
        <v>95</v>
      </c>
      <c r="F33" s="16" t="s">
        <v>23</v>
      </c>
      <c r="G33" s="41" t="s">
        <v>149</v>
      </c>
      <c r="H33" s="30" t="s">
        <v>74</v>
      </c>
      <c r="I33" s="30" t="s">
        <v>400</v>
      </c>
      <c r="J33" s="30" t="s">
        <v>401</v>
      </c>
      <c r="K33" s="41" t="s">
        <v>29</v>
      </c>
      <c r="L33" s="16" t="s">
        <v>41</v>
      </c>
      <c r="M33" s="30" t="s">
        <v>402</v>
      </c>
      <c r="N33" s="117">
        <v>46492.0</v>
      </c>
      <c r="O33" s="49">
        <f t="shared" si="1"/>
        <v>249</v>
      </c>
      <c r="P33" s="63">
        <f t="shared" si="2"/>
        <v>46402</v>
      </c>
      <c r="Q33" s="49"/>
      <c r="R33" s="49"/>
      <c r="S33" s="49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</row>
    <row r="34" ht="32.25" hidden="1" customHeight="1">
      <c r="A34" s="131">
        <v>100052.0</v>
      </c>
      <c r="B34" s="7" t="s">
        <v>18</v>
      </c>
      <c r="C34" s="28" t="s">
        <v>100</v>
      </c>
      <c r="D34" s="27">
        <v>33702.0</v>
      </c>
      <c r="E34" s="29" t="s">
        <v>403</v>
      </c>
      <c r="F34" s="30" t="s">
        <v>23</v>
      </c>
      <c r="G34" s="28" t="s">
        <v>404</v>
      </c>
      <c r="H34" s="30" t="s">
        <v>405</v>
      </c>
      <c r="I34" s="28" t="s">
        <v>406</v>
      </c>
      <c r="J34" s="28" t="s">
        <v>407</v>
      </c>
      <c r="K34" s="28" t="s">
        <v>408</v>
      </c>
      <c r="L34" s="30" t="s">
        <v>33</v>
      </c>
      <c r="M34" s="28" t="s">
        <v>409</v>
      </c>
      <c r="N34" s="47">
        <v>44936.0</v>
      </c>
      <c r="O34" s="49">
        <f t="shared" si="1"/>
        <v>-1307</v>
      </c>
      <c r="P34" s="50">
        <f t="shared" si="2"/>
        <v>44846</v>
      </c>
      <c r="Q34" s="49"/>
      <c r="R34" s="49"/>
      <c r="S34" s="49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</row>
    <row r="35" ht="28.5" hidden="1" customHeight="1">
      <c r="A35" s="16">
        <v>100032.0</v>
      </c>
      <c r="B35" s="7" t="s">
        <v>18</v>
      </c>
      <c r="C35" s="25" t="s">
        <v>106</v>
      </c>
      <c r="D35" s="27">
        <v>33812.0</v>
      </c>
      <c r="E35" s="29" t="s">
        <v>410</v>
      </c>
      <c r="F35" s="30" t="s">
        <v>50</v>
      </c>
      <c r="G35" s="28" t="s">
        <v>411</v>
      </c>
      <c r="H35" s="30" t="s">
        <v>38</v>
      </c>
      <c r="I35" s="28">
        <v>9.7984103509E10</v>
      </c>
      <c r="J35" s="28" t="s">
        <v>412</v>
      </c>
      <c r="K35" s="28" t="s">
        <v>61</v>
      </c>
      <c r="L35" s="30" t="s">
        <v>41</v>
      </c>
      <c r="M35" s="28" t="s">
        <v>413</v>
      </c>
      <c r="N35" s="90">
        <v>44672.0</v>
      </c>
      <c r="O35" s="49">
        <f t="shared" si="1"/>
        <v>-1571</v>
      </c>
      <c r="P35" s="63">
        <f t="shared" si="2"/>
        <v>44582</v>
      </c>
      <c r="Q35" s="49"/>
      <c r="R35" s="49"/>
      <c r="S35" s="49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</row>
    <row r="36" ht="15.75" hidden="1" customHeight="1">
      <c r="A36" s="16">
        <v>100026.0</v>
      </c>
      <c r="B36" s="7" t="s">
        <v>18</v>
      </c>
      <c r="C36" s="25" t="s">
        <v>414</v>
      </c>
      <c r="D36" s="43">
        <v>35211.0</v>
      </c>
      <c r="E36" s="132" t="s">
        <v>415</v>
      </c>
      <c r="F36" s="16" t="s">
        <v>23</v>
      </c>
      <c r="G36" s="16" t="s">
        <v>416</v>
      </c>
      <c r="H36" s="16" t="s">
        <v>55</v>
      </c>
      <c r="I36" s="30">
        <v>6.5984181602E10</v>
      </c>
      <c r="J36" s="30" t="s">
        <v>417</v>
      </c>
      <c r="K36" s="16" t="s">
        <v>61</v>
      </c>
      <c r="L36" s="16" t="s">
        <v>41</v>
      </c>
      <c r="M36" s="16" t="s">
        <v>418</v>
      </c>
      <c r="N36" s="47">
        <v>44477.0</v>
      </c>
      <c r="O36" s="49">
        <f t="shared" si="1"/>
        <v>-1766</v>
      </c>
      <c r="P36" s="50">
        <f t="shared" si="2"/>
        <v>44387</v>
      </c>
      <c r="Q36" s="49"/>
      <c r="R36" s="49"/>
      <c r="S36" s="49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</row>
    <row r="37" ht="27.75" hidden="1" customHeight="1">
      <c r="A37" s="28">
        <v>100035.0</v>
      </c>
      <c r="B37" s="25" t="s">
        <v>18</v>
      </c>
      <c r="C37" s="25" t="s">
        <v>117</v>
      </c>
      <c r="D37" s="27">
        <v>35168.0</v>
      </c>
      <c r="E37" s="28">
        <v>1.6343920781E10</v>
      </c>
      <c r="F37" s="30" t="s">
        <v>23</v>
      </c>
      <c r="G37" s="28" t="s">
        <v>313</v>
      </c>
      <c r="H37" s="28" t="s">
        <v>66</v>
      </c>
      <c r="I37" s="28">
        <v>2.1971844865E10</v>
      </c>
      <c r="J37" s="28" t="s">
        <v>419</v>
      </c>
      <c r="K37" s="28" t="s">
        <v>61</v>
      </c>
      <c r="L37" s="30" t="s">
        <v>41</v>
      </c>
      <c r="M37" s="28" t="s">
        <v>238</v>
      </c>
      <c r="N37" s="90">
        <v>44696.0</v>
      </c>
      <c r="O37" s="133">
        <f t="shared" si="1"/>
        <v>-1547</v>
      </c>
      <c r="P37" s="63">
        <f t="shared" si="2"/>
        <v>44606</v>
      </c>
      <c r="Q37" s="133"/>
      <c r="R37" s="133"/>
      <c r="S37" s="133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</row>
    <row r="38" ht="15.75" hidden="1" customHeight="1">
      <c r="A38" s="16">
        <v>100060.0</v>
      </c>
      <c r="B38" s="7" t="s">
        <v>18</v>
      </c>
      <c r="C38" s="135" t="s">
        <v>122</v>
      </c>
      <c r="D38" s="49"/>
      <c r="E38" s="49"/>
      <c r="F38" s="30" t="s">
        <v>50</v>
      </c>
      <c r="G38" s="49"/>
      <c r="H38" s="49"/>
      <c r="I38" s="49"/>
      <c r="J38" s="49"/>
      <c r="K38" s="49"/>
      <c r="L38" s="30" t="s">
        <v>41</v>
      </c>
      <c r="M38" s="30" t="s">
        <v>420</v>
      </c>
      <c r="N38" s="117">
        <v>45217.0</v>
      </c>
      <c r="O38" s="49">
        <f t="shared" si="1"/>
        <v>-1026</v>
      </c>
      <c r="P38" s="63">
        <f t="shared" si="2"/>
        <v>45127</v>
      </c>
      <c r="Q38" s="49"/>
      <c r="R38" s="49"/>
      <c r="S38" s="49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</row>
    <row r="39" hidden="1">
      <c r="A39" s="41">
        <v>100010.0</v>
      </c>
      <c r="B39" s="7" t="s">
        <v>18</v>
      </c>
      <c r="C39" s="74" t="s">
        <v>126</v>
      </c>
      <c r="D39" s="75">
        <v>35209.0</v>
      </c>
      <c r="E39" s="130" t="s">
        <v>421</v>
      </c>
      <c r="F39" s="16" t="s">
        <v>23</v>
      </c>
      <c r="G39" s="41" t="s">
        <v>267</v>
      </c>
      <c r="H39" s="41" t="s">
        <v>74</v>
      </c>
      <c r="I39" s="41">
        <v>6.1985233756E10</v>
      </c>
      <c r="J39" s="41" t="s">
        <v>422</v>
      </c>
      <c r="K39" s="41" t="s">
        <v>61</v>
      </c>
      <c r="L39" s="16" t="s">
        <v>41</v>
      </c>
      <c r="M39" s="41" t="s">
        <v>288</v>
      </c>
      <c r="N39" s="79">
        <v>44245.0</v>
      </c>
      <c r="O39" s="41">
        <f t="shared" si="1"/>
        <v>-1998</v>
      </c>
      <c r="P39" s="50">
        <f t="shared" si="2"/>
        <v>44155</v>
      </c>
      <c r="Q39" s="50">
        <f>N39-$Q$1</f>
        <v>44185</v>
      </c>
      <c r="R39" s="51">
        <f>N39-$R$1</f>
        <v>44215</v>
      </c>
      <c r="S39" s="49"/>
      <c r="T39" s="52"/>
      <c r="U39" s="52"/>
      <c r="V39" s="84"/>
      <c r="W39" s="84"/>
      <c r="X39" s="84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</row>
    <row r="40" ht="23.25" customHeight="1">
      <c r="A40" s="40"/>
      <c r="B40" s="7" t="s">
        <v>76</v>
      </c>
      <c r="C40" s="25" t="s">
        <v>132</v>
      </c>
      <c r="D40" s="27">
        <v>25327.0</v>
      </c>
      <c r="E40" s="28" t="s">
        <v>134</v>
      </c>
      <c r="F40" s="30" t="s">
        <v>50</v>
      </c>
      <c r="G40" s="30" t="s">
        <v>423</v>
      </c>
      <c r="H40" s="30" t="s">
        <v>139</v>
      </c>
      <c r="I40" s="28">
        <v>8.4998411361E10</v>
      </c>
      <c r="J40" s="28" t="s">
        <v>424</v>
      </c>
      <c r="K40" s="28" t="s">
        <v>29</v>
      </c>
      <c r="L40" s="30" t="s">
        <v>41</v>
      </c>
      <c r="M40" s="30" t="s">
        <v>425</v>
      </c>
      <c r="N40" s="90">
        <v>46492.0</v>
      </c>
      <c r="O40" s="49">
        <f t="shared" si="1"/>
        <v>249</v>
      </c>
      <c r="P40" s="49"/>
      <c r="Q40" s="49"/>
      <c r="R40" s="49"/>
      <c r="S40" s="49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</row>
    <row r="41" ht="15.75" hidden="1" customHeight="1">
      <c r="A41" s="16">
        <v>100059.0</v>
      </c>
      <c r="B41" s="7" t="s">
        <v>18</v>
      </c>
      <c r="C41" s="136" t="s">
        <v>141</v>
      </c>
      <c r="D41" s="49"/>
      <c r="E41" s="49"/>
      <c r="F41" s="30" t="s">
        <v>50</v>
      </c>
      <c r="G41" s="49"/>
      <c r="H41" s="49"/>
      <c r="I41" s="49"/>
      <c r="J41" s="49"/>
      <c r="K41" s="49"/>
      <c r="L41" s="30" t="s">
        <v>41</v>
      </c>
      <c r="M41" s="30" t="s">
        <v>157</v>
      </c>
      <c r="N41" s="117">
        <v>45217.0</v>
      </c>
      <c r="O41" s="49">
        <f t="shared" si="1"/>
        <v>-1026</v>
      </c>
      <c r="P41" s="49"/>
      <c r="Q41" s="49"/>
      <c r="R41" s="49"/>
      <c r="S41" s="49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</row>
    <row r="42" ht="15.75" hidden="1" customHeight="1">
      <c r="A42" s="16">
        <v>100057.0</v>
      </c>
      <c r="B42" s="7" t="s">
        <v>18</v>
      </c>
      <c r="C42" s="136" t="s">
        <v>426</v>
      </c>
      <c r="D42" s="49"/>
      <c r="E42" s="49"/>
      <c r="F42" s="30" t="s">
        <v>23</v>
      </c>
      <c r="G42" s="49"/>
      <c r="H42" s="49"/>
      <c r="I42" s="49"/>
      <c r="J42" s="49"/>
      <c r="K42" s="49"/>
      <c r="L42" s="30" t="s">
        <v>33</v>
      </c>
      <c r="M42" s="30" t="s">
        <v>88</v>
      </c>
      <c r="N42" s="117">
        <v>45217.0</v>
      </c>
      <c r="O42" s="49">
        <f t="shared" si="1"/>
        <v>-1026</v>
      </c>
      <c r="P42" s="49"/>
      <c r="Q42" s="49"/>
      <c r="R42" s="49"/>
      <c r="S42" s="49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</row>
    <row r="43" ht="15.75" hidden="1" customHeight="1">
      <c r="A43" s="41">
        <v>100006.0</v>
      </c>
      <c r="B43" s="7" t="s">
        <v>18</v>
      </c>
      <c r="C43" s="74" t="s">
        <v>146</v>
      </c>
      <c r="D43" s="75">
        <v>33893.0</v>
      </c>
      <c r="E43" s="16" t="s">
        <v>427</v>
      </c>
      <c r="F43" s="16" t="s">
        <v>23</v>
      </c>
      <c r="G43" s="41" t="s">
        <v>150</v>
      </c>
      <c r="H43" s="41" t="s">
        <v>74</v>
      </c>
      <c r="I43" s="41">
        <v>6.198277677E10</v>
      </c>
      <c r="J43" s="41" t="s">
        <v>152</v>
      </c>
      <c r="K43" s="41" t="s">
        <v>155</v>
      </c>
      <c r="L43" s="16" t="s">
        <v>41</v>
      </c>
      <c r="M43" s="41" t="s">
        <v>288</v>
      </c>
      <c r="N43" s="79">
        <v>45217.0</v>
      </c>
      <c r="O43" s="41">
        <f t="shared" si="1"/>
        <v>-1026</v>
      </c>
      <c r="P43" s="50">
        <f t="shared" ref="P43:P44" si="5">N43-$P$1</f>
        <v>45127</v>
      </c>
      <c r="Q43" s="50">
        <f t="shared" ref="Q43:Q44" si="6">N43-$Q$1</f>
        <v>45157</v>
      </c>
      <c r="R43" s="51">
        <f t="shared" ref="R43:R44" si="7">N43-$R$1</f>
        <v>45187</v>
      </c>
      <c r="S43" s="49"/>
      <c r="T43" s="52"/>
      <c r="U43" s="52"/>
      <c r="V43" s="84"/>
      <c r="W43" s="84"/>
      <c r="X43" s="84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</row>
    <row r="44" ht="15.75" hidden="1" customHeight="1">
      <c r="A44" s="41">
        <v>100009.0</v>
      </c>
      <c r="B44" s="7" t="s">
        <v>18</v>
      </c>
      <c r="C44" s="74" t="s">
        <v>428</v>
      </c>
      <c r="D44" s="75">
        <v>34199.0</v>
      </c>
      <c r="E44" s="41">
        <v>4.132752135E9</v>
      </c>
      <c r="F44" s="16" t="s">
        <v>23</v>
      </c>
      <c r="G44" s="41" t="s">
        <v>429</v>
      </c>
      <c r="H44" s="41" t="s">
        <v>430</v>
      </c>
      <c r="I44" s="41">
        <v>6.1981536104E10</v>
      </c>
      <c r="J44" s="41" t="s">
        <v>431</v>
      </c>
      <c r="K44" s="41" t="s">
        <v>29</v>
      </c>
      <c r="L44" s="16" t="s">
        <v>41</v>
      </c>
      <c r="M44" s="41" t="s">
        <v>157</v>
      </c>
      <c r="N44" s="79">
        <v>44735.0</v>
      </c>
      <c r="O44" s="41">
        <f t="shared" si="1"/>
        <v>-1508</v>
      </c>
      <c r="P44" s="50">
        <f t="shared" si="5"/>
        <v>44645</v>
      </c>
      <c r="Q44" s="50">
        <f t="shared" si="6"/>
        <v>44675</v>
      </c>
      <c r="R44" s="51">
        <f t="shared" si="7"/>
        <v>44705</v>
      </c>
      <c r="S44" s="49"/>
      <c r="T44" s="52"/>
      <c r="U44" s="52"/>
      <c r="V44" s="84"/>
      <c r="W44" s="84"/>
      <c r="X44" s="84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</row>
    <row r="45" ht="15.75" hidden="1" customHeight="1">
      <c r="A45" s="16">
        <v>100047.0</v>
      </c>
      <c r="B45" s="7" t="s">
        <v>18</v>
      </c>
      <c r="C45" s="28" t="s">
        <v>158</v>
      </c>
      <c r="D45" s="27">
        <v>34572.0</v>
      </c>
      <c r="E45" s="29" t="s">
        <v>160</v>
      </c>
      <c r="F45" s="30" t="s">
        <v>50</v>
      </c>
      <c r="G45" s="28" t="s">
        <v>163</v>
      </c>
      <c r="H45" s="28" t="s">
        <v>75</v>
      </c>
      <c r="I45" s="28">
        <v>8.1998158154E10</v>
      </c>
      <c r="J45" s="28" t="s">
        <v>165</v>
      </c>
      <c r="K45" s="28" t="s">
        <v>61</v>
      </c>
      <c r="L45" s="30" t="s">
        <v>41</v>
      </c>
      <c r="M45" s="28" t="s">
        <v>432</v>
      </c>
      <c r="N45" s="117">
        <v>45217.0</v>
      </c>
      <c r="O45" s="49">
        <f t="shared" si="1"/>
        <v>-1026</v>
      </c>
      <c r="P45" s="49"/>
      <c r="Q45" s="49"/>
      <c r="R45" s="49"/>
      <c r="S45" s="49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</row>
    <row r="46" ht="15.75" hidden="1" customHeight="1">
      <c r="A46" s="16">
        <v>100031.0</v>
      </c>
      <c r="B46" s="7" t="s">
        <v>18</v>
      </c>
      <c r="C46" s="25" t="s">
        <v>167</v>
      </c>
      <c r="D46" s="47">
        <v>28327.0</v>
      </c>
      <c r="E46" s="30">
        <v>8.2881502172E10</v>
      </c>
      <c r="F46" s="30" t="s">
        <v>23</v>
      </c>
      <c r="G46" s="30" t="s">
        <v>159</v>
      </c>
      <c r="H46" s="30" t="s">
        <v>74</v>
      </c>
      <c r="I46" s="30">
        <f>+351937082855</f>
        <v>351937082855</v>
      </c>
      <c r="J46" s="30" t="s">
        <v>168</v>
      </c>
      <c r="K46" s="41" t="s">
        <v>155</v>
      </c>
      <c r="L46" s="30" t="s">
        <v>41</v>
      </c>
      <c r="M46" s="41" t="s">
        <v>157</v>
      </c>
      <c r="N46" s="47">
        <v>44230.0</v>
      </c>
      <c r="O46" s="49">
        <f t="shared" si="1"/>
        <v>-2013</v>
      </c>
      <c r="P46" s="49"/>
      <c r="Q46" s="49"/>
      <c r="R46" s="49"/>
      <c r="S46" s="49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</row>
    <row r="47" ht="15.75" hidden="1" customHeight="1">
      <c r="A47" s="28">
        <v>100036.0</v>
      </c>
      <c r="B47" s="7" t="s">
        <v>18</v>
      </c>
      <c r="C47" s="25" t="s">
        <v>169</v>
      </c>
      <c r="D47" s="27">
        <v>35304.0</v>
      </c>
      <c r="E47" s="28">
        <v>4.0830375805E10</v>
      </c>
      <c r="F47" s="30" t="s">
        <v>23</v>
      </c>
      <c r="G47" s="28" t="s">
        <v>170</v>
      </c>
      <c r="H47" s="30" t="s">
        <v>172</v>
      </c>
      <c r="I47" s="28">
        <v>1.1996441314E10</v>
      </c>
      <c r="J47" s="28" t="s">
        <v>173</v>
      </c>
      <c r="K47" s="28" t="s">
        <v>29</v>
      </c>
      <c r="L47" s="28" t="s">
        <v>41</v>
      </c>
      <c r="M47" s="30" t="s">
        <v>433</v>
      </c>
      <c r="N47" s="90">
        <v>44722.0</v>
      </c>
      <c r="O47" s="49">
        <f t="shared" si="1"/>
        <v>-1521</v>
      </c>
      <c r="P47" s="49"/>
      <c r="Q47" s="49"/>
      <c r="R47" s="49"/>
      <c r="S47" s="49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</row>
    <row r="48" ht="15.75" hidden="1" customHeight="1">
      <c r="A48" s="28">
        <v>100043.0</v>
      </c>
      <c r="B48" s="7" t="s">
        <v>18</v>
      </c>
      <c r="C48" s="28" t="s">
        <v>176</v>
      </c>
      <c r="D48" s="27">
        <v>33299.0</v>
      </c>
      <c r="E48" s="29" t="s">
        <v>177</v>
      </c>
      <c r="F48" s="30" t="s">
        <v>23</v>
      </c>
      <c r="G48" s="28" t="s">
        <v>180</v>
      </c>
      <c r="H48" s="30" t="s">
        <v>74</v>
      </c>
      <c r="I48" s="28">
        <v>6.19821878E10</v>
      </c>
      <c r="J48" s="28" t="s">
        <v>181</v>
      </c>
      <c r="K48" s="28" t="s">
        <v>61</v>
      </c>
      <c r="L48" s="30" t="s">
        <v>41</v>
      </c>
      <c r="M48" s="30" t="s">
        <v>434</v>
      </c>
      <c r="N48" s="90">
        <v>45217.0</v>
      </c>
      <c r="O48" s="49">
        <f t="shared" si="1"/>
        <v>-1026</v>
      </c>
      <c r="P48" s="49"/>
      <c r="Q48" s="49"/>
      <c r="R48" s="49"/>
      <c r="S48" s="49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</row>
    <row r="49" ht="15.75" hidden="1" customHeight="1">
      <c r="A49" s="16">
        <v>100028.0</v>
      </c>
      <c r="B49" s="7" t="s">
        <v>18</v>
      </c>
      <c r="C49" s="25" t="s">
        <v>182</v>
      </c>
      <c r="D49" s="43">
        <v>33190.0</v>
      </c>
      <c r="E49" s="132" t="s">
        <v>183</v>
      </c>
      <c r="F49" s="16" t="s">
        <v>23</v>
      </c>
      <c r="G49" s="30" t="s">
        <v>184</v>
      </c>
      <c r="H49" s="30" t="s">
        <v>185</v>
      </c>
      <c r="I49" s="30">
        <v>3.1991659876E10</v>
      </c>
      <c r="J49" s="30" t="s">
        <v>186</v>
      </c>
      <c r="K49" s="16" t="s">
        <v>61</v>
      </c>
      <c r="L49" s="16" t="s">
        <v>41</v>
      </c>
      <c r="M49" s="30" t="s">
        <v>435</v>
      </c>
      <c r="N49" s="47">
        <v>44475.0</v>
      </c>
      <c r="O49" s="49">
        <f t="shared" si="1"/>
        <v>-1768</v>
      </c>
      <c r="P49" s="49"/>
      <c r="Q49" s="49"/>
      <c r="R49" s="49"/>
      <c r="S49" s="49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</row>
    <row r="50" ht="15.75" hidden="1" customHeight="1">
      <c r="A50" s="16">
        <v>100058.0</v>
      </c>
      <c r="B50" s="7" t="s">
        <v>18</v>
      </c>
      <c r="C50" s="137" t="s">
        <v>188</v>
      </c>
      <c r="D50" s="49"/>
      <c r="E50" s="49"/>
      <c r="F50" s="30" t="s">
        <v>50</v>
      </c>
      <c r="G50" s="49"/>
      <c r="H50" s="49"/>
      <c r="I50" s="49"/>
      <c r="J50" s="49"/>
      <c r="K50" s="49"/>
      <c r="L50" s="30" t="s">
        <v>41</v>
      </c>
      <c r="M50" s="49"/>
      <c r="N50" s="117">
        <v>45218.0</v>
      </c>
      <c r="O50" s="49">
        <f t="shared" si="1"/>
        <v>-1025</v>
      </c>
      <c r="P50" s="49"/>
      <c r="Q50" s="49"/>
      <c r="R50" s="49"/>
      <c r="S50" s="49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</row>
    <row r="51" ht="15.75" customHeight="1">
      <c r="A51" s="41"/>
      <c r="B51" s="7" t="s">
        <v>76</v>
      </c>
      <c r="C51" s="74" t="s">
        <v>436</v>
      </c>
      <c r="D51" s="75">
        <v>34384.0</v>
      </c>
      <c r="E51" s="130" t="s">
        <v>437</v>
      </c>
      <c r="F51" s="16" t="s">
        <v>23</v>
      </c>
      <c r="G51" s="41" t="s">
        <v>438</v>
      </c>
      <c r="H51" s="41" t="s">
        <v>74</v>
      </c>
      <c r="I51" s="41" t="s">
        <v>439</v>
      </c>
      <c r="J51" s="41" t="s">
        <v>440</v>
      </c>
      <c r="K51" s="41" t="s">
        <v>111</v>
      </c>
      <c r="L51" s="16" t="s">
        <v>41</v>
      </c>
      <c r="M51" s="41" t="s">
        <v>288</v>
      </c>
      <c r="N51" s="79">
        <v>44289.0</v>
      </c>
      <c r="O51" s="41">
        <f t="shared" si="1"/>
        <v>-1954</v>
      </c>
      <c r="P51" s="50">
        <f>N51-$P$1</f>
        <v>44199</v>
      </c>
      <c r="Q51" s="50">
        <f>N51-$Q$1</f>
        <v>44229</v>
      </c>
      <c r="R51" s="51">
        <f>N51-$R$1</f>
        <v>44259</v>
      </c>
      <c r="S51" s="49"/>
      <c r="T51" s="52"/>
      <c r="U51" s="52"/>
      <c r="V51" s="84"/>
      <c r="W51" s="84"/>
      <c r="X51" s="84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</row>
    <row r="52" ht="15.75" hidden="1" customHeight="1">
      <c r="A52" s="28">
        <v>100044.0</v>
      </c>
      <c r="B52" s="7" t="s">
        <v>18</v>
      </c>
      <c r="C52" s="25" t="s">
        <v>193</v>
      </c>
      <c r="D52" s="27">
        <v>34615.0</v>
      </c>
      <c r="E52" s="28">
        <v>2.9805423E9</v>
      </c>
      <c r="F52" s="30" t="s">
        <v>23</v>
      </c>
      <c r="G52" s="41" t="s">
        <v>149</v>
      </c>
      <c r="H52" s="30" t="s">
        <v>74</v>
      </c>
      <c r="I52" s="28">
        <v>6.1993134847E10</v>
      </c>
      <c r="J52" s="28" t="s">
        <v>201</v>
      </c>
      <c r="K52" s="28" t="s">
        <v>61</v>
      </c>
      <c r="L52" s="30" t="s">
        <v>41</v>
      </c>
      <c r="M52" s="30" t="s">
        <v>434</v>
      </c>
      <c r="N52" s="90">
        <v>45218.0</v>
      </c>
      <c r="O52" s="133">
        <f t="shared" si="1"/>
        <v>-1025</v>
      </c>
      <c r="P52" s="133"/>
      <c r="Q52" s="133"/>
      <c r="R52" s="133"/>
      <c r="S52" s="133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</row>
    <row r="53" ht="15.75" hidden="1" customHeight="1">
      <c r="A53" s="41">
        <v>100004.0</v>
      </c>
      <c r="B53" s="7" t="s">
        <v>18</v>
      </c>
      <c r="C53" s="74" t="s">
        <v>441</v>
      </c>
      <c r="D53" s="75">
        <v>34332.0</v>
      </c>
      <c r="E53" s="130" t="s">
        <v>210</v>
      </c>
      <c r="F53" s="16" t="s">
        <v>50</v>
      </c>
      <c r="G53" s="41" t="s">
        <v>108</v>
      </c>
      <c r="H53" s="41" t="s">
        <v>74</v>
      </c>
      <c r="I53" s="41">
        <v>6.1994110443E10</v>
      </c>
      <c r="J53" s="41" t="s">
        <v>211</v>
      </c>
      <c r="K53" s="41" t="s">
        <v>61</v>
      </c>
      <c r="L53" s="16" t="s">
        <v>41</v>
      </c>
      <c r="M53" s="41" t="s">
        <v>288</v>
      </c>
      <c r="N53" s="79">
        <v>44245.0</v>
      </c>
      <c r="O53" s="41">
        <f t="shared" si="1"/>
        <v>-1998</v>
      </c>
      <c r="P53" s="50">
        <f t="shared" ref="P53:P55" si="8">N53-$P$1</f>
        <v>44155</v>
      </c>
      <c r="Q53" s="50">
        <f t="shared" ref="Q53:Q55" si="9">N53-$Q$1</f>
        <v>44185</v>
      </c>
      <c r="R53" s="51">
        <f t="shared" ref="R53:R55" si="10">N53-$R$1</f>
        <v>44215</v>
      </c>
      <c r="S53" s="49"/>
      <c r="T53" s="52"/>
      <c r="U53" s="52"/>
      <c r="V53" s="84"/>
      <c r="W53" s="84"/>
      <c r="X53" s="84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</row>
    <row r="54" ht="15.75" hidden="1" customHeight="1">
      <c r="A54" s="41">
        <v>100002.0</v>
      </c>
      <c r="B54" s="7" t="s">
        <v>18</v>
      </c>
      <c r="C54" s="74" t="s">
        <v>214</v>
      </c>
      <c r="D54" s="75">
        <v>33886.0</v>
      </c>
      <c r="E54" s="130" t="s">
        <v>215</v>
      </c>
      <c r="F54" s="16" t="s">
        <v>50</v>
      </c>
      <c r="G54" s="41" t="s">
        <v>149</v>
      </c>
      <c r="H54" s="41" t="s">
        <v>74</v>
      </c>
      <c r="I54" s="41">
        <v>6.1981617781E10</v>
      </c>
      <c r="J54" s="16" t="s">
        <v>218</v>
      </c>
      <c r="K54" s="41" t="s">
        <v>61</v>
      </c>
      <c r="L54" s="16" t="s">
        <v>41</v>
      </c>
      <c r="M54" s="41" t="s">
        <v>157</v>
      </c>
      <c r="N54" s="79">
        <v>44656.0</v>
      </c>
      <c r="O54" s="41">
        <f t="shared" si="1"/>
        <v>-1587</v>
      </c>
      <c r="P54" s="50">
        <f t="shared" si="8"/>
        <v>44566</v>
      </c>
      <c r="Q54" s="50">
        <f t="shared" si="9"/>
        <v>44596</v>
      </c>
      <c r="R54" s="51">
        <f t="shared" si="10"/>
        <v>44626</v>
      </c>
      <c r="S54" s="49"/>
      <c r="T54" s="52"/>
      <c r="U54" s="52"/>
      <c r="V54" s="84"/>
      <c r="W54" s="84"/>
      <c r="X54" s="84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</row>
    <row r="55" ht="15.75" hidden="1" customHeight="1">
      <c r="A55" s="41">
        <v>100013.0</v>
      </c>
      <c r="B55" s="7" t="s">
        <v>18</v>
      </c>
      <c r="C55" s="74" t="s">
        <v>220</v>
      </c>
      <c r="D55" s="75">
        <v>34592.0</v>
      </c>
      <c r="E55" s="130" t="s">
        <v>221</v>
      </c>
      <c r="F55" s="16" t="s">
        <v>23</v>
      </c>
      <c r="G55" s="41" t="s">
        <v>40</v>
      </c>
      <c r="H55" s="41" t="s">
        <v>25</v>
      </c>
      <c r="I55" s="41">
        <v>6.5996145014E10</v>
      </c>
      <c r="J55" s="41" t="s">
        <v>223</v>
      </c>
      <c r="K55" s="41" t="s">
        <v>61</v>
      </c>
      <c r="L55" s="16" t="s">
        <v>41</v>
      </c>
      <c r="M55" s="41" t="s">
        <v>442</v>
      </c>
      <c r="N55" s="47">
        <v>44731.0</v>
      </c>
      <c r="O55" s="41">
        <f t="shared" si="1"/>
        <v>-1512</v>
      </c>
      <c r="P55" s="50">
        <f t="shared" si="8"/>
        <v>44641</v>
      </c>
      <c r="Q55" s="50">
        <f t="shared" si="9"/>
        <v>44671</v>
      </c>
      <c r="R55" s="51">
        <f t="shared" si="10"/>
        <v>44701</v>
      </c>
      <c r="S55" s="49"/>
      <c r="T55" s="52"/>
      <c r="U55" s="31"/>
      <c r="V55" s="84"/>
      <c r="W55" s="84"/>
      <c r="X55" s="84"/>
      <c r="Y55" s="31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</row>
    <row r="56" ht="15.75" hidden="1" customHeight="1">
      <c r="A56" s="16">
        <v>100033.0</v>
      </c>
      <c r="B56" s="7" t="s">
        <v>18</v>
      </c>
      <c r="C56" s="25" t="s">
        <v>443</v>
      </c>
      <c r="D56" s="27">
        <v>34908.0</v>
      </c>
      <c r="E56" s="29" t="s">
        <v>228</v>
      </c>
      <c r="F56" s="30" t="s">
        <v>50</v>
      </c>
      <c r="G56" s="30" t="s">
        <v>416</v>
      </c>
      <c r="H56" s="30" t="s">
        <v>55</v>
      </c>
      <c r="I56" s="28">
        <v>6.599628987E10</v>
      </c>
      <c r="J56" s="28" t="s">
        <v>231</v>
      </c>
      <c r="K56" s="28" t="s">
        <v>155</v>
      </c>
      <c r="L56" s="30" t="s">
        <v>41</v>
      </c>
      <c r="M56" s="16" t="s">
        <v>418</v>
      </c>
      <c r="N56" s="90">
        <v>44652.0</v>
      </c>
      <c r="O56" s="49">
        <f t="shared" si="1"/>
        <v>-1591</v>
      </c>
      <c r="P56" s="49"/>
      <c r="Q56" s="49"/>
      <c r="R56" s="49"/>
      <c r="S56" s="49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</row>
    <row r="57" ht="15.75" hidden="1" customHeight="1">
      <c r="A57" s="16">
        <v>100050.0</v>
      </c>
      <c r="B57" s="7" t="s">
        <v>18</v>
      </c>
      <c r="C57" s="28" t="s">
        <v>327</v>
      </c>
      <c r="D57" s="27">
        <v>32984.0</v>
      </c>
      <c r="E57" s="29" t="s">
        <v>236</v>
      </c>
      <c r="F57" s="30" t="s">
        <v>23</v>
      </c>
      <c r="G57" s="28" t="s">
        <v>239</v>
      </c>
      <c r="H57" s="30" t="s">
        <v>74</v>
      </c>
      <c r="I57" s="30">
        <v>6.1995918917E10</v>
      </c>
      <c r="J57" s="28" t="s">
        <v>240</v>
      </c>
      <c r="K57" s="30" t="s">
        <v>29</v>
      </c>
      <c r="L57" s="30" t="s">
        <v>41</v>
      </c>
      <c r="M57" s="28" t="s">
        <v>444</v>
      </c>
      <c r="N57" s="47">
        <v>44897.0</v>
      </c>
      <c r="O57" s="49">
        <f t="shared" si="1"/>
        <v>-1346</v>
      </c>
      <c r="P57" s="49"/>
      <c r="Q57" s="49"/>
      <c r="R57" s="49"/>
      <c r="S57" s="49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</row>
    <row r="58" ht="15.75" hidden="1" customHeight="1">
      <c r="A58" s="41">
        <v>100017.0</v>
      </c>
      <c r="B58" s="7" t="s">
        <v>18</v>
      </c>
      <c r="C58" s="74" t="s">
        <v>244</v>
      </c>
      <c r="D58" s="75">
        <v>33560.0</v>
      </c>
      <c r="E58" s="130" t="s">
        <v>245</v>
      </c>
      <c r="F58" s="16" t="s">
        <v>23</v>
      </c>
      <c r="G58" s="41" t="s">
        <v>159</v>
      </c>
      <c r="H58" s="41" t="s">
        <v>74</v>
      </c>
      <c r="I58" s="41">
        <v>6.1996233202E10</v>
      </c>
      <c r="J58" s="41" t="s">
        <v>246</v>
      </c>
      <c r="K58" s="41" t="s">
        <v>155</v>
      </c>
      <c r="L58" s="16" t="s">
        <v>41</v>
      </c>
      <c r="M58" s="41" t="s">
        <v>157</v>
      </c>
      <c r="N58" s="79">
        <v>44362.0</v>
      </c>
      <c r="O58" s="41">
        <f t="shared" si="1"/>
        <v>-1881</v>
      </c>
      <c r="P58" s="50">
        <f>N58-$P$1</f>
        <v>44272</v>
      </c>
      <c r="Q58" s="50">
        <f>N58-$Q$1</f>
        <v>44302</v>
      </c>
      <c r="R58" s="51">
        <f>N58-$R$1</f>
        <v>44332</v>
      </c>
      <c r="S58" s="49"/>
      <c r="T58" s="52"/>
      <c r="U58" s="52"/>
      <c r="V58" s="84"/>
      <c r="W58" s="84"/>
      <c r="X58" s="84"/>
      <c r="Y58" s="31"/>
      <c r="Z58" s="31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</row>
    <row r="59" ht="15.75" hidden="1" customHeight="1">
      <c r="A59" s="16">
        <v>100030.0</v>
      </c>
      <c r="B59" s="7" t="s">
        <v>18</v>
      </c>
      <c r="C59" s="25" t="s">
        <v>248</v>
      </c>
      <c r="D59" s="47">
        <v>28557.0</v>
      </c>
      <c r="E59" s="30">
        <v>5.8244042249E10</v>
      </c>
      <c r="F59" s="30" t="s">
        <v>23</v>
      </c>
      <c r="G59" s="30" t="s">
        <v>411</v>
      </c>
      <c r="H59" s="30" t="s">
        <v>38</v>
      </c>
      <c r="I59" s="30">
        <v>9.7984010859E10</v>
      </c>
      <c r="J59" s="30" t="s">
        <v>250</v>
      </c>
      <c r="K59" s="41" t="s">
        <v>29</v>
      </c>
      <c r="L59" s="30" t="s">
        <v>41</v>
      </c>
      <c r="M59" s="30" t="s">
        <v>445</v>
      </c>
      <c r="N59" s="117">
        <v>44923.0</v>
      </c>
      <c r="O59" s="49">
        <f t="shared" si="1"/>
        <v>-1320</v>
      </c>
      <c r="P59" s="49"/>
      <c r="Q59" s="49"/>
      <c r="R59" s="49"/>
      <c r="S59" s="49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</row>
    <row r="60" ht="15.75" hidden="1" customHeight="1">
      <c r="A60" s="16">
        <v>100056.0</v>
      </c>
      <c r="B60" s="7" t="s">
        <v>18</v>
      </c>
      <c r="C60" s="137" t="s">
        <v>252</v>
      </c>
      <c r="D60" s="49"/>
      <c r="E60" s="49"/>
      <c r="F60" s="30" t="s">
        <v>23</v>
      </c>
      <c r="G60" s="49"/>
      <c r="H60" s="49"/>
      <c r="I60" s="49"/>
      <c r="J60" s="49"/>
      <c r="K60" s="49"/>
      <c r="L60" s="30" t="s">
        <v>41</v>
      </c>
      <c r="M60" s="49"/>
      <c r="N60" s="117">
        <v>45217.0</v>
      </c>
      <c r="O60" s="49">
        <f t="shared" si="1"/>
        <v>-1026</v>
      </c>
      <c r="P60" s="49"/>
      <c r="Q60" s="49"/>
      <c r="R60" s="49"/>
      <c r="S60" s="49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</row>
    <row r="61" ht="15.75" hidden="1" customHeight="1">
      <c r="A61" s="16">
        <v>100055.0</v>
      </c>
      <c r="B61" s="7" t="s">
        <v>18</v>
      </c>
      <c r="C61" s="136" t="s">
        <v>253</v>
      </c>
      <c r="D61" s="49"/>
      <c r="E61" s="49"/>
      <c r="F61" s="30" t="s">
        <v>50</v>
      </c>
      <c r="G61" s="49"/>
      <c r="H61" s="49"/>
      <c r="I61" s="49"/>
      <c r="J61" s="49"/>
      <c r="K61" s="49"/>
      <c r="L61" s="30" t="s">
        <v>41</v>
      </c>
      <c r="M61" s="30" t="s">
        <v>446</v>
      </c>
      <c r="N61" s="47">
        <v>45155.0</v>
      </c>
      <c r="O61" s="49">
        <f t="shared" si="1"/>
        <v>-1088</v>
      </c>
      <c r="P61" s="49"/>
      <c r="Q61" s="49"/>
      <c r="R61" s="49"/>
      <c r="S61" s="49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</row>
    <row r="62" ht="15.75" hidden="1" customHeight="1">
      <c r="A62" s="41">
        <v>100008.0</v>
      </c>
      <c r="B62" s="7" t="s">
        <v>18</v>
      </c>
      <c r="C62" s="74" t="s">
        <v>257</v>
      </c>
      <c r="D62" s="75">
        <v>33356.0</v>
      </c>
      <c r="E62" s="130" t="s">
        <v>258</v>
      </c>
      <c r="F62" s="16" t="s">
        <v>23</v>
      </c>
      <c r="G62" s="41" t="s">
        <v>149</v>
      </c>
      <c r="H62" s="41" t="s">
        <v>74</v>
      </c>
      <c r="I62" s="41">
        <v>6.1985439999E10</v>
      </c>
      <c r="J62" s="41" t="s">
        <v>261</v>
      </c>
      <c r="K62" s="41" t="s">
        <v>61</v>
      </c>
      <c r="L62" s="16" t="s">
        <v>41</v>
      </c>
      <c r="M62" s="41" t="s">
        <v>157</v>
      </c>
      <c r="N62" s="79">
        <v>44245.0</v>
      </c>
      <c r="O62" s="41">
        <f t="shared" si="1"/>
        <v>-1998</v>
      </c>
      <c r="P62" s="50">
        <f>N62-$P$1</f>
        <v>44155</v>
      </c>
      <c r="Q62" s="50">
        <f>N62-$Q$1</f>
        <v>44185</v>
      </c>
      <c r="R62" s="51">
        <f>N62-$R$1</f>
        <v>44215</v>
      </c>
      <c r="S62" s="49"/>
      <c r="T62" s="52"/>
      <c r="U62" s="52"/>
      <c r="V62" s="84"/>
      <c r="W62" s="84"/>
      <c r="X62" s="84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</row>
    <row r="63" ht="15.75" hidden="1" customHeight="1">
      <c r="A63" s="138">
        <v>100054.0</v>
      </c>
      <c r="B63" s="7" t="s">
        <v>18</v>
      </c>
      <c r="C63" s="136" t="s">
        <v>335</v>
      </c>
      <c r="D63" s="49"/>
      <c r="E63" s="49"/>
      <c r="F63" s="30" t="s">
        <v>23</v>
      </c>
      <c r="G63" s="49"/>
      <c r="H63" s="49"/>
      <c r="I63" s="49"/>
      <c r="J63" s="49"/>
      <c r="K63" s="49"/>
      <c r="L63" s="30" t="s">
        <v>41</v>
      </c>
      <c r="M63" s="30" t="s">
        <v>447</v>
      </c>
      <c r="N63" s="47">
        <v>45087.0</v>
      </c>
      <c r="O63" s="49">
        <f t="shared" si="1"/>
        <v>-1156</v>
      </c>
      <c r="P63" s="49"/>
      <c r="Q63" s="49"/>
      <c r="R63" s="49"/>
      <c r="S63" s="49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</row>
    <row r="64" ht="15.75" hidden="1" customHeight="1">
      <c r="A64" s="41">
        <v>100007.0</v>
      </c>
      <c r="B64" s="7" t="s">
        <v>18</v>
      </c>
      <c r="C64" s="74" t="s">
        <v>265</v>
      </c>
      <c r="D64" s="75">
        <v>33596.0</v>
      </c>
      <c r="E64" s="130" t="s">
        <v>266</v>
      </c>
      <c r="F64" s="16" t="s">
        <v>50</v>
      </c>
      <c r="G64" s="41" t="s">
        <v>267</v>
      </c>
      <c r="H64" s="41" t="s">
        <v>74</v>
      </c>
      <c r="I64" s="41">
        <v>6.1995999531E10</v>
      </c>
      <c r="J64" s="41" t="s">
        <v>268</v>
      </c>
      <c r="K64" s="41" t="s">
        <v>61</v>
      </c>
      <c r="L64" s="16" t="s">
        <v>41</v>
      </c>
      <c r="M64" s="41" t="s">
        <v>157</v>
      </c>
      <c r="N64" s="79">
        <v>44245.0</v>
      </c>
      <c r="O64" s="41">
        <f t="shared" si="1"/>
        <v>-1998</v>
      </c>
      <c r="P64" s="50">
        <f t="shared" ref="P64:P69" si="11">N64-$P$1</f>
        <v>44155</v>
      </c>
      <c r="Q64" s="50">
        <f t="shared" ref="Q64:Q69" si="12">N64-$Q$1</f>
        <v>44185</v>
      </c>
      <c r="R64" s="51">
        <f t="shared" ref="R64:R69" si="13">N64-$R$1</f>
        <v>44215</v>
      </c>
      <c r="S64" s="49"/>
      <c r="T64" s="52"/>
      <c r="U64" s="52"/>
      <c r="V64" s="84"/>
      <c r="W64" s="84"/>
      <c r="X64" s="84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</row>
    <row r="65" ht="15.75" customHeight="1">
      <c r="A65" s="40"/>
      <c r="B65" s="7" t="s">
        <v>76</v>
      </c>
      <c r="C65" s="74" t="s">
        <v>448</v>
      </c>
      <c r="D65" s="75">
        <v>33982.0</v>
      </c>
      <c r="E65" s="130" t="s">
        <v>449</v>
      </c>
      <c r="F65" s="16" t="s">
        <v>23</v>
      </c>
      <c r="G65" s="41" t="s">
        <v>450</v>
      </c>
      <c r="H65" s="41" t="s">
        <v>74</v>
      </c>
      <c r="I65" s="41">
        <v>6.1991966372E10</v>
      </c>
      <c r="J65" s="41" t="s">
        <v>451</v>
      </c>
      <c r="K65" s="41" t="s">
        <v>29</v>
      </c>
      <c r="L65" s="16" t="s">
        <v>41</v>
      </c>
      <c r="M65" s="41" t="s">
        <v>157</v>
      </c>
      <c r="N65" s="79">
        <v>46483.0</v>
      </c>
      <c r="O65" s="41">
        <f t="shared" si="1"/>
        <v>240</v>
      </c>
      <c r="P65" s="50">
        <f t="shared" si="11"/>
        <v>46393</v>
      </c>
      <c r="Q65" s="50">
        <f t="shared" si="12"/>
        <v>46423</v>
      </c>
      <c r="R65" s="51">
        <f t="shared" si="13"/>
        <v>46453</v>
      </c>
      <c r="S65" s="41"/>
      <c r="T65" s="31"/>
      <c r="U65" s="52"/>
      <c r="V65" s="84"/>
      <c r="W65" s="84"/>
      <c r="X65" s="84"/>
      <c r="Y65" s="31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</row>
    <row r="66" ht="15.75" hidden="1" customHeight="1">
      <c r="A66" s="41">
        <v>100018.0</v>
      </c>
      <c r="B66" s="7" t="s">
        <v>18</v>
      </c>
      <c r="C66" s="74" t="s">
        <v>270</v>
      </c>
      <c r="D66" s="75">
        <v>34356.0</v>
      </c>
      <c r="E66" s="130" t="s">
        <v>271</v>
      </c>
      <c r="F66" s="16" t="s">
        <v>23</v>
      </c>
      <c r="G66" s="41" t="s">
        <v>149</v>
      </c>
      <c r="H66" s="41" t="s">
        <v>74</v>
      </c>
      <c r="I66" s="41">
        <v>6.1992690913E10</v>
      </c>
      <c r="J66" s="41" t="s">
        <v>272</v>
      </c>
      <c r="K66" s="41" t="s">
        <v>61</v>
      </c>
      <c r="L66" s="16" t="s">
        <v>41</v>
      </c>
      <c r="M66" s="41" t="s">
        <v>157</v>
      </c>
      <c r="N66" s="79">
        <v>44748.0</v>
      </c>
      <c r="O66" s="41">
        <f t="shared" si="1"/>
        <v>-1495</v>
      </c>
      <c r="P66" s="50">
        <f t="shared" si="11"/>
        <v>44658</v>
      </c>
      <c r="Q66" s="50">
        <f t="shared" si="12"/>
        <v>44688</v>
      </c>
      <c r="R66" s="51">
        <f t="shared" si="13"/>
        <v>44718</v>
      </c>
      <c r="S66" s="49"/>
      <c r="T66" s="52"/>
      <c r="U66" s="52"/>
      <c r="V66" s="84"/>
      <c r="W66" s="84"/>
      <c r="X66" s="84"/>
      <c r="Y66" s="31"/>
      <c r="Z66" s="31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</row>
    <row r="67" ht="15.75" hidden="1" customHeight="1">
      <c r="A67" s="41">
        <v>100024.0</v>
      </c>
      <c r="B67" s="7" t="s">
        <v>18</v>
      </c>
      <c r="C67" s="74" t="s">
        <v>452</v>
      </c>
      <c r="D67" s="75">
        <v>34419.0</v>
      </c>
      <c r="E67" s="130" t="s">
        <v>275</v>
      </c>
      <c r="F67" s="16" t="s">
        <v>23</v>
      </c>
      <c r="G67" s="41" t="s">
        <v>276</v>
      </c>
      <c r="H67" s="41" t="s">
        <v>74</v>
      </c>
      <c r="I67" s="41">
        <v>6.1992316226E10</v>
      </c>
      <c r="J67" s="41" t="s">
        <v>277</v>
      </c>
      <c r="K67" s="41" t="s">
        <v>61</v>
      </c>
      <c r="L67" s="16" t="s">
        <v>41</v>
      </c>
      <c r="M67" s="41" t="s">
        <v>157</v>
      </c>
      <c r="N67" s="79">
        <v>44762.0</v>
      </c>
      <c r="O67" s="41">
        <f t="shared" si="1"/>
        <v>-1481</v>
      </c>
      <c r="P67" s="50">
        <f t="shared" si="11"/>
        <v>44672</v>
      </c>
      <c r="Q67" s="50">
        <f t="shared" si="12"/>
        <v>44702</v>
      </c>
      <c r="R67" s="51">
        <f t="shared" si="13"/>
        <v>44732</v>
      </c>
      <c r="S67" s="49"/>
      <c r="T67" s="52"/>
      <c r="U67" s="52"/>
      <c r="V67" s="84"/>
      <c r="W67" s="84"/>
      <c r="X67" s="84"/>
      <c r="Y67" s="31"/>
      <c r="Z67" s="31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</row>
    <row r="68" ht="15.75" customHeight="1">
      <c r="A68" s="40"/>
      <c r="B68" s="7" t="s">
        <v>76</v>
      </c>
      <c r="C68" s="74" t="s">
        <v>453</v>
      </c>
      <c r="D68" s="75">
        <v>34250.0</v>
      </c>
      <c r="E68" s="41">
        <v>1.41193427E10</v>
      </c>
      <c r="F68" s="16" t="s">
        <v>23</v>
      </c>
      <c r="G68" s="41" t="s">
        <v>108</v>
      </c>
      <c r="H68" s="41" t="s">
        <v>74</v>
      </c>
      <c r="I68" s="41">
        <v>6.1983517591E10</v>
      </c>
      <c r="J68" s="139" t="s">
        <v>454</v>
      </c>
      <c r="K68" s="41" t="s">
        <v>29</v>
      </c>
      <c r="L68" s="16" t="s">
        <v>41</v>
      </c>
      <c r="M68" s="41" t="s">
        <v>157</v>
      </c>
      <c r="N68" s="79">
        <v>46426.0</v>
      </c>
      <c r="O68" s="41">
        <f t="shared" si="1"/>
        <v>183</v>
      </c>
      <c r="P68" s="50">
        <f t="shared" si="11"/>
        <v>46336</v>
      </c>
      <c r="Q68" s="50">
        <f t="shared" si="12"/>
        <v>46366</v>
      </c>
      <c r="R68" s="51">
        <f t="shared" si="13"/>
        <v>46396</v>
      </c>
      <c r="S68" s="49"/>
      <c r="T68" s="52"/>
      <c r="U68" s="52"/>
      <c r="V68" s="84"/>
      <c r="W68" s="84"/>
      <c r="X68" s="84"/>
      <c r="Y68" s="31"/>
      <c r="Z68" s="31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</row>
    <row r="69" ht="15.75" hidden="1" customHeight="1">
      <c r="A69" s="16">
        <v>100053.0</v>
      </c>
      <c r="B69" s="7" t="s">
        <v>18</v>
      </c>
      <c r="C69" s="28" t="s">
        <v>285</v>
      </c>
      <c r="D69" s="27">
        <v>33704.0</v>
      </c>
      <c r="E69" s="28">
        <v>3.8334370814E10</v>
      </c>
      <c r="F69" s="30" t="s">
        <v>50</v>
      </c>
      <c r="G69" s="28" t="s">
        <v>287</v>
      </c>
      <c r="H69" s="30" t="s">
        <v>38</v>
      </c>
      <c r="I69" s="28">
        <v>9.7984485194E10</v>
      </c>
      <c r="J69" s="28" t="s">
        <v>289</v>
      </c>
      <c r="K69" s="28" t="s">
        <v>61</v>
      </c>
      <c r="L69" s="30" t="s">
        <v>41</v>
      </c>
      <c r="M69" s="28" t="s">
        <v>455</v>
      </c>
      <c r="N69" s="47">
        <v>44936.0</v>
      </c>
      <c r="O69" s="49">
        <f t="shared" si="1"/>
        <v>-1307</v>
      </c>
      <c r="P69" s="50">
        <f t="shared" si="11"/>
        <v>44846</v>
      </c>
      <c r="Q69" s="50">
        <f t="shared" si="12"/>
        <v>44876</v>
      </c>
      <c r="R69" s="51">
        <f t="shared" si="13"/>
        <v>44906</v>
      </c>
      <c r="S69" s="49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</row>
    <row r="70" ht="15.75" customHeight="1">
      <c r="A70" s="40"/>
      <c r="B70" s="7" t="s">
        <v>76</v>
      </c>
      <c r="C70" s="140" t="s">
        <v>456</v>
      </c>
      <c r="D70" s="141">
        <v>37708.0</v>
      </c>
      <c r="E70" s="140" t="s">
        <v>457</v>
      </c>
      <c r="F70" s="30" t="s">
        <v>50</v>
      </c>
      <c r="G70" s="30" t="s">
        <v>313</v>
      </c>
      <c r="H70" s="30" t="s">
        <v>66</v>
      </c>
      <c r="I70" s="30" t="s">
        <v>458</v>
      </c>
      <c r="J70" s="30" t="s">
        <v>459</v>
      </c>
      <c r="K70" s="30" t="s">
        <v>29</v>
      </c>
      <c r="L70" s="30" t="s">
        <v>33</v>
      </c>
      <c r="M70" s="30" t="s">
        <v>358</v>
      </c>
      <c r="N70" s="49"/>
      <c r="O70" s="49"/>
      <c r="P70" s="133"/>
      <c r="Q70" s="133"/>
      <c r="R70" s="49"/>
      <c r="S70" s="49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</row>
    <row r="71" ht="15.75" customHeight="1">
      <c r="A71" s="40"/>
      <c r="B71" s="7" t="s">
        <v>76</v>
      </c>
      <c r="C71" s="140" t="s">
        <v>460</v>
      </c>
      <c r="D71" s="141">
        <v>36612.0</v>
      </c>
      <c r="E71" s="140" t="s">
        <v>461</v>
      </c>
      <c r="F71" s="30" t="s">
        <v>23</v>
      </c>
      <c r="G71" s="30" t="s">
        <v>313</v>
      </c>
      <c r="H71" s="30" t="s">
        <v>66</v>
      </c>
      <c r="I71" s="30" t="s">
        <v>462</v>
      </c>
      <c r="J71" s="30" t="s">
        <v>87</v>
      </c>
      <c r="K71" s="30" t="s">
        <v>87</v>
      </c>
      <c r="L71" s="30" t="s">
        <v>33</v>
      </c>
      <c r="M71" s="30" t="s">
        <v>87</v>
      </c>
      <c r="N71" s="49"/>
      <c r="O71" s="49"/>
      <c r="P71" s="133"/>
      <c r="Q71" s="133"/>
      <c r="R71" s="49"/>
      <c r="S71" s="49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</row>
    <row r="72" ht="15.75" customHeight="1">
      <c r="A72" s="40"/>
      <c r="B72" s="7" t="s">
        <v>76</v>
      </c>
      <c r="C72" s="140" t="s">
        <v>463</v>
      </c>
      <c r="D72" s="142">
        <v>29910.0</v>
      </c>
      <c r="E72" s="140" t="s">
        <v>464</v>
      </c>
      <c r="F72" s="30" t="s">
        <v>23</v>
      </c>
      <c r="G72" s="78" t="s">
        <v>465</v>
      </c>
      <c r="H72" s="102" t="s">
        <v>28</v>
      </c>
      <c r="I72" s="30" t="s">
        <v>466</v>
      </c>
      <c r="J72" s="30" t="s">
        <v>467</v>
      </c>
      <c r="K72" s="30" t="s">
        <v>29</v>
      </c>
      <c r="L72" s="16" t="s">
        <v>33</v>
      </c>
      <c r="M72" s="30" t="s">
        <v>468</v>
      </c>
      <c r="N72" s="49"/>
      <c r="O72" s="49"/>
      <c r="P72" s="133"/>
      <c r="Q72" s="133"/>
      <c r="R72" s="49"/>
      <c r="S72" s="49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</row>
    <row r="73" ht="15.75" customHeight="1">
      <c r="A73" s="40"/>
      <c r="B73" s="7" t="s">
        <v>76</v>
      </c>
      <c r="C73" s="140" t="s">
        <v>469</v>
      </c>
      <c r="D73" s="142">
        <v>36514.0</v>
      </c>
      <c r="E73" s="140" t="s">
        <v>470</v>
      </c>
      <c r="F73" s="30" t="s">
        <v>50</v>
      </c>
      <c r="G73" s="30" t="s">
        <v>471</v>
      </c>
      <c r="H73" s="30" t="s">
        <v>66</v>
      </c>
      <c r="I73" s="30" t="s">
        <v>472</v>
      </c>
      <c r="J73" s="30" t="s">
        <v>473</v>
      </c>
      <c r="K73" s="30" t="s">
        <v>29</v>
      </c>
      <c r="L73" s="16" t="s">
        <v>33</v>
      </c>
      <c r="M73" s="30" t="s">
        <v>87</v>
      </c>
      <c r="N73" s="49"/>
      <c r="O73" s="49"/>
      <c r="P73" s="133"/>
      <c r="Q73" s="133"/>
      <c r="R73" s="49"/>
      <c r="S73" s="49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</row>
    <row r="74" ht="15.75" customHeight="1">
      <c r="A74" s="40"/>
      <c r="B74" s="7" t="s">
        <v>76</v>
      </c>
      <c r="C74" s="140" t="s">
        <v>474</v>
      </c>
      <c r="D74" s="141">
        <v>36201.0</v>
      </c>
      <c r="E74" s="140" t="s">
        <v>475</v>
      </c>
      <c r="F74" s="30" t="s">
        <v>50</v>
      </c>
      <c r="G74" s="30" t="s">
        <v>72</v>
      </c>
      <c r="H74" s="30" t="s">
        <v>74</v>
      </c>
      <c r="I74" s="30" t="s">
        <v>476</v>
      </c>
      <c r="J74" s="30" t="s">
        <v>477</v>
      </c>
      <c r="K74" s="30" t="s">
        <v>29</v>
      </c>
      <c r="L74" s="16" t="s">
        <v>33</v>
      </c>
      <c r="M74" s="30" t="s">
        <v>157</v>
      </c>
      <c r="N74" s="49"/>
      <c r="O74" s="49"/>
      <c r="P74" s="133"/>
      <c r="Q74" s="133"/>
      <c r="R74" s="49"/>
      <c r="S74" s="49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</row>
    <row r="75" ht="15.75" customHeight="1">
      <c r="A75" s="40"/>
      <c r="B75" s="7" t="s">
        <v>76</v>
      </c>
      <c r="C75" s="140" t="s">
        <v>478</v>
      </c>
      <c r="D75" s="141">
        <v>36892.0</v>
      </c>
      <c r="E75" s="140" t="s">
        <v>479</v>
      </c>
      <c r="F75" s="30" t="s">
        <v>50</v>
      </c>
      <c r="G75" s="30" t="s">
        <v>72</v>
      </c>
      <c r="H75" s="30" t="s">
        <v>74</v>
      </c>
      <c r="I75" s="30" t="s">
        <v>480</v>
      </c>
      <c r="J75" s="30" t="s">
        <v>481</v>
      </c>
      <c r="K75" s="30" t="s">
        <v>29</v>
      </c>
      <c r="L75" s="16" t="s">
        <v>33</v>
      </c>
      <c r="M75" s="30" t="s">
        <v>157</v>
      </c>
      <c r="N75" s="49"/>
      <c r="O75" s="49"/>
      <c r="P75" s="133"/>
      <c r="Q75" s="133"/>
      <c r="R75" s="49"/>
      <c r="S75" s="49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</row>
    <row r="76" ht="15.75" customHeight="1">
      <c r="A76" s="40"/>
      <c r="B76" s="7" t="s">
        <v>76</v>
      </c>
      <c r="C76" s="140" t="s">
        <v>482</v>
      </c>
      <c r="D76" s="142">
        <v>32797.0</v>
      </c>
      <c r="E76" s="140" t="s">
        <v>483</v>
      </c>
      <c r="F76" s="30" t="s">
        <v>23</v>
      </c>
      <c r="G76" s="30" t="s">
        <v>465</v>
      </c>
      <c r="H76" s="30" t="s">
        <v>28</v>
      </c>
      <c r="I76" s="30" t="s">
        <v>484</v>
      </c>
      <c r="J76" s="30" t="s">
        <v>485</v>
      </c>
      <c r="K76" s="30" t="s">
        <v>29</v>
      </c>
      <c r="L76" s="30" t="s">
        <v>33</v>
      </c>
      <c r="M76" s="30" t="s">
        <v>468</v>
      </c>
      <c r="N76" s="49"/>
      <c r="O76" s="49"/>
      <c r="P76" s="133"/>
      <c r="Q76" s="133"/>
      <c r="R76" s="49"/>
      <c r="S76" s="49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</row>
    <row r="77" ht="15.75" customHeight="1">
      <c r="A77" s="40"/>
      <c r="B77" s="7" t="s">
        <v>76</v>
      </c>
      <c r="C77" s="25" t="s">
        <v>486</v>
      </c>
      <c r="D77" s="27">
        <v>31227.0</v>
      </c>
      <c r="E77" s="28" t="s">
        <v>487</v>
      </c>
      <c r="F77" s="30" t="s">
        <v>23</v>
      </c>
      <c r="G77" s="28" t="s">
        <v>309</v>
      </c>
      <c r="H77" s="102" t="s">
        <v>28</v>
      </c>
      <c r="I77" s="28" t="s">
        <v>488</v>
      </c>
      <c r="J77" s="49"/>
      <c r="K77" s="49"/>
      <c r="L77" s="30" t="s">
        <v>41</v>
      </c>
      <c r="M77" s="49"/>
      <c r="N77" s="47">
        <v>46473.0</v>
      </c>
      <c r="O77" s="49">
        <f t="shared" ref="O77:O125" si="14">N77-TODAY()</f>
        <v>230</v>
      </c>
      <c r="P77" s="50">
        <f t="shared" ref="P77:P110" si="15">N77-$P$1</f>
        <v>46383</v>
      </c>
      <c r="Q77" s="50">
        <f t="shared" ref="Q77:Q110" si="16">N77-$Q$1</f>
        <v>46413</v>
      </c>
      <c r="R77" s="51">
        <f t="shared" ref="R77:R110" si="17">N77-$R$1</f>
        <v>46443</v>
      </c>
      <c r="S77" s="49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</row>
    <row r="78" ht="15.75" customHeight="1">
      <c r="A78" s="40"/>
      <c r="B78" s="7" t="s">
        <v>76</v>
      </c>
      <c r="C78" s="102" t="s">
        <v>489</v>
      </c>
      <c r="D78" s="143">
        <v>33698.0</v>
      </c>
      <c r="E78" s="102" t="s">
        <v>490</v>
      </c>
      <c r="F78" s="102" t="s">
        <v>23</v>
      </c>
      <c r="G78" s="102" t="s">
        <v>72</v>
      </c>
      <c r="H78" s="102" t="s">
        <v>74</v>
      </c>
      <c r="I78" s="102" t="s">
        <v>491</v>
      </c>
      <c r="J78" s="102" t="s">
        <v>492</v>
      </c>
      <c r="K78" s="102"/>
      <c r="L78" s="102" t="s">
        <v>41</v>
      </c>
      <c r="M78" s="102" t="s">
        <v>493</v>
      </c>
      <c r="N78" s="143">
        <v>46486.0</v>
      </c>
      <c r="O78" s="49">
        <f t="shared" si="14"/>
        <v>243</v>
      </c>
      <c r="P78" s="50">
        <f t="shared" si="15"/>
        <v>46396</v>
      </c>
      <c r="Q78" s="50">
        <f t="shared" si="16"/>
        <v>46426</v>
      </c>
      <c r="R78" s="51">
        <f t="shared" si="17"/>
        <v>46456</v>
      </c>
      <c r="S78" s="49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</row>
    <row r="79" ht="15.75" customHeight="1">
      <c r="A79" s="40"/>
      <c r="B79" s="7" t="s">
        <v>76</v>
      </c>
      <c r="C79" s="25" t="s">
        <v>494</v>
      </c>
      <c r="D79" s="47">
        <v>34380.0</v>
      </c>
      <c r="E79" s="30" t="s">
        <v>495</v>
      </c>
      <c r="F79" s="30" t="s">
        <v>23</v>
      </c>
      <c r="G79" s="30" t="s">
        <v>496</v>
      </c>
      <c r="H79" s="102" t="s">
        <v>38</v>
      </c>
      <c r="I79" s="30" t="s">
        <v>497</v>
      </c>
      <c r="J79" s="30" t="s">
        <v>498</v>
      </c>
      <c r="K79" s="49"/>
      <c r="L79" s="30" t="s">
        <v>41</v>
      </c>
      <c r="M79" s="30" t="s">
        <v>499</v>
      </c>
      <c r="N79" s="47">
        <v>46484.0</v>
      </c>
      <c r="O79" s="49">
        <f t="shared" si="14"/>
        <v>241</v>
      </c>
      <c r="P79" s="50">
        <f t="shared" si="15"/>
        <v>46394</v>
      </c>
      <c r="Q79" s="50">
        <f t="shared" si="16"/>
        <v>46424</v>
      </c>
      <c r="R79" s="51">
        <f t="shared" si="17"/>
        <v>46454</v>
      </c>
      <c r="S79" s="49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</row>
    <row r="80" ht="15.75" customHeight="1">
      <c r="A80" s="40"/>
      <c r="B80" s="7" t="s">
        <v>76</v>
      </c>
      <c r="C80" s="25" t="s">
        <v>500</v>
      </c>
      <c r="D80" s="47">
        <v>34539.0</v>
      </c>
      <c r="E80" s="30" t="s">
        <v>501</v>
      </c>
      <c r="F80" s="30" t="s">
        <v>23</v>
      </c>
      <c r="G80" s="30" t="s">
        <v>502</v>
      </c>
      <c r="H80" s="102" t="s">
        <v>66</v>
      </c>
      <c r="I80" s="30" t="s">
        <v>503</v>
      </c>
      <c r="J80" s="30" t="s">
        <v>504</v>
      </c>
      <c r="K80" s="49"/>
      <c r="L80" s="30" t="s">
        <v>41</v>
      </c>
      <c r="M80" s="30" t="s">
        <v>505</v>
      </c>
      <c r="N80" s="47">
        <v>46479.0</v>
      </c>
      <c r="O80" s="49">
        <f t="shared" si="14"/>
        <v>236</v>
      </c>
      <c r="P80" s="50">
        <f t="shared" si="15"/>
        <v>46389</v>
      </c>
      <c r="Q80" s="50">
        <f t="shared" si="16"/>
        <v>46419</v>
      </c>
      <c r="R80" s="51">
        <f t="shared" si="17"/>
        <v>46449</v>
      </c>
      <c r="S80" s="49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</row>
    <row r="81" ht="15.75" customHeight="1">
      <c r="A81" s="40"/>
      <c r="B81" s="7" t="s">
        <v>76</v>
      </c>
      <c r="C81" s="25" t="s">
        <v>506</v>
      </c>
      <c r="D81" s="47">
        <v>37031.0</v>
      </c>
      <c r="E81" s="30" t="s">
        <v>507</v>
      </c>
      <c r="F81" s="30" t="s">
        <v>50</v>
      </c>
      <c r="G81" s="30" t="s">
        <v>508</v>
      </c>
      <c r="H81" s="102" t="s">
        <v>74</v>
      </c>
      <c r="I81" s="30" t="s">
        <v>509</v>
      </c>
      <c r="J81" s="30" t="s">
        <v>510</v>
      </c>
      <c r="K81" s="49"/>
      <c r="L81" s="30" t="s">
        <v>33</v>
      </c>
      <c r="M81" s="30" t="s">
        <v>493</v>
      </c>
      <c r="N81" s="47">
        <v>46488.0</v>
      </c>
      <c r="O81" s="49">
        <f t="shared" si="14"/>
        <v>245</v>
      </c>
      <c r="P81" s="50">
        <f t="shared" si="15"/>
        <v>46398</v>
      </c>
      <c r="Q81" s="50">
        <f t="shared" si="16"/>
        <v>46428</v>
      </c>
      <c r="R81" s="51">
        <f t="shared" si="17"/>
        <v>46458</v>
      </c>
      <c r="S81" s="49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</row>
    <row r="82" ht="15.75" customHeight="1">
      <c r="A82" s="40"/>
      <c r="B82" s="7" t="s">
        <v>76</v>
      </c>
      <c r="C82" s="25" t="s">
        <v>511</v>
      </c>
      <c r="D82" s="47">
        <v>29686.0</v>
      </c>
      <c r="E82" s="30" t="s">
        <v>512</v>
      </c>
      <c r="F82" s="30" t="s">
        <v>23</v>
      </c>
      <c r="G82" s="30" t="s">
        <v>229</v>
      </c>
      <c r="H82" s="102" t="s">
        <v>55</v>
      </c>
      <c r="I82" s="30" t="s">
        <v>513</v>
      </c>
      <c r="J82" s="30" t="s">
        <v>514</v>
      </c>
      <c r="K82" s="49"/>
      <c r="L82" s="30" t="s">
        <v>41</v>
      </c>
      <c r="M82" s="49"/>
      <c r="N82" s="47">
        <v>46490.0</v>
      </c>
      <c r="O82" s="49">
        <f t="shared" si="14"/>
        <v>247</v>
      </c>
      <c r="P82" s="50">
        <f t="shared" si="15"/>
        <v>46400</v>
      </c>
      <c r="Q82" s="50">
        <f t="shared" si="16"/>
        <v>46430</v>
      </c>
      <c r="R82" s="51">
        <f t="shared" si="17"/>
        <v>46460</v>
      </c>
      <c r="S82" s="49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</row>
    <row r="83" ht="15.75" customHeight="1">
      <c r="A83" s="40"/>
      <c r="B83" s="7" t="s">
        <v>76</v>
      </c>
      <c r="C83" s="25" t="s">
        <v>515</v>
      </c>
      <c r="D83" s="47">
        <v>37262.0</v>
      </c>
      <c r="E83" s="28" t="s">
        <v>516</v>
      </c>
      <c r="F83" s="30" t="s">
        <v>23</v>
      </c>
      <c r="G83" s="30" t="s">
        <v>517</v>
      </c>
      <c r="H83" s="102" t="s">
        <v>75</v>
      </c>
      <c r="I83" s="30" t="s">
        <v>518</v>
      </c>
      <c r="J83" s="30" t="s">
        <v>519</v>
      </c>
      <c r="K83" s="49"/>
      <c r="L83" s="30" t="s">
        <v>41</v>
      </c>
      <c r="M83" s="30" t="s">
        <v>520</v>
      </c>
      <c r="N83" s="47">
        <v>46503.0</v>
      </c>
      <c r="O83" s="49">
        <f t="shared" si="14"/>
        <v>260</v>
      </c>
      <c r="P83" s="50">
        <f t="shared" si="15"/>
        <v>46413</v>
      </c>
      <c r="Q83" s="50">
        <f t="shared" si="16"/>
        <v>46443</v>
      </c>
      <c r="R83" s="51">
        <f t="shared" si="17"/>
        <v>46473</v>
      </c>
      <c r="S83" s="49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</row>
    <row r="84" ht="15.75" customHeight="1">
      <c r="A84" s="40"/>
      <c r="B84" s="7" t="s">
        <v>76</v>
      </c>
      <c r="C84" s="25" t="s">
        <v>521</v>
      </c>
      <c r="D84" s="47">
        <v>33751.0</v>
      </c>
      <c r="E84" s="30" t="s">
        <v>522</v>
      </c>
      <c r="F84" s="30" t="s">
        <v>23</v>
      </c>
      <c r="G84" s="30" t="s">
        <v>523</v>
      </c>
      <c r="H84" s="102" t="s">
        <v>38</v>
      </c>
      <c r="I84" s="30" t="s">
        <v>524</v>
      </c>
      <c r="J84" s="30" t="s">
        <v>525</v>
      </c>
      <c r="K84" s="49"/>
      <c r="L84" s="30" t="s">
        <v>41</v>
      </c>
      <c r="M84" s="30" t="s">
        <v>526</v>
      </c>
      <c r="N84" s="47">
        <v>46880.0</v>
      </c>
      <c r="O84" s="49">
        <f t="shared" si="14"/>
        <v>637</v>
      </c>
      <c r="P84" s="50">
        <f t="shared" si="15"/>
        <v>46790</v>
      </c>
      <c r="Q84" s="50">
        <f t="shared" si="16"/>
        <v>46820</v>
      </c>
      <c r="R84" s="51">
        <f t="shared" si="17"/>
        <v>46850</v>
      </c>
      <c r="S84" s="49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</row>
    <row r="85" ht="15.75" customHeight="1">
      <c r="A85" s="40"/>
      <c r="B85" s="7" t="s">
        <v>76</v>
      </c>
      <c r="C85" s="25" t="s">
        <v>527</v>
      </c>
      <c r="D85" s="47">
        <v>36424.0</v>
      </c>
      <c r="E85" s="30" t="s">
        <v>528</v>
      </c>
      <c r="F85" s="30" t="s">
        <v>23</v>
      </c>
      <c r="G85" s="30" t="s">
        <v>51</v>
      </c>
      <c r="H85" s="102" t="s">
        <v>55</v>
      </c>
      <c r="I85" s="30" t="s">
        <v>529</v>
      </c>
      <c r="J85" s="30" t="s">
        <v>530</v>
      </c>
      <c r="K85" s="49"/>
      <c r="L85" s="30" t="s">
        <v>41</v>
      </c>
      <c r="M85" s="30" t="s">
        <v>531</v>
      </c>
      <c r="N85" s="47">
        <v>46879.0</v>
      </c>
      <c r="O85" s="49">
        <f t="shared" si="14"/>
        <v>636</v>
      </c>
      <c r="P85" s="50">
        <f t="shared" si="15"/>
        <v>46789</v>
      </c>
      <c r="Q85" s="50">
        <f t="shared" si="16"/>
        <v>46819</v>
      </c>
      <c r="R85" s="51">
        <f t="shared" si="17"/>
        <v>46849</v>
      </c>
      <c r="S85" s="49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</row>
    <row r="86" ht="15.75" customHeight="1">
      <c r="A86" s="144">
        <v>100099.0</v>
      </c>
      <c r="B86" s="145" t="s">
        <v>76</v>
      </c>
      <c r="C86" s="146" t="s">
        <v>279</v>
      </c>
      <c r="D86" s="147">
        <v>34178.0</v>
      </c>
      <c r="E86" s="148" t="s">
        <v>532</v>
      </c>
      <c r="F86" s="148" t="s">
        <v>23</v>
      </c>
      <c r="G86" s="148" t="s">
        <v>533</v>
      </c>
      <c r="H86" s="149"/>
      <c r="I86" s="148" t="s">
        <v>284</v>
      </c>
      <c r="J86" s="148" t="s">
        <v>282</v>
      </c>
      <c r="K86" s="150"/>
      <c r="L86" s="148" t="s">
        <v>41</v>
      </c>
      <c r="M86" s="148" t="s">
        <v>534</v>
      </c>
      <c r="N86" s="147">
        <v>46514.0</v>
      </c>
      <c r="O86" s="151">
        <f t="shared" si="14"/>
        <v>271</v>
      </c>
      <c r="P86" s="152">
        <f t="shared" si="15"/>
        <v>46424</v>
      </c>
      <c r="Q86" s="152">
        <f t="shared" si="16"/>
        <v>46454</v>
      </c>
      <c r="R86" s="153">
        <f t="shared" si="17"/>
        <v>46484</v>
      </c>
      <c r="S86" s="150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</row>
    <row r="87" ht="15.75" customHeight="1">
      <c r="A87" s="40"/>
      <c r="B87" s="7" t="s">
        <v>76</v>
      </c>
      <c r="C87" s="25" t="s">
        <v>535</v>
      </c>
      <c r="D87" s="47">
        <v>33332.0</v>
      </c>
      <c r="E87" s="30" t="s">
        <v>536</v>
      </c>
      <c r="F87" s="30" t="s">
        <v>50</v>
      </c>
      <c r="G87" s="30" t="s">
        <v>229</v>
      </c>
      <c r="H87" s="102" t="s">
        <v>55</v>
      </c>
      <c r="I87" s="30" t="s">
        <v>537</v>
      </c>
      <c r="J87" s="30" t="s">
        <v>538</v>
      </c>
      <c r="K87" s="49"/>
      <c r="L87" s="30" t="s">
        <v>41</v>
      </c>
      <c r="M87" s="30" t="s">
        <v>539</v>
      </c>
      <c r="N87" s="47">
        <v>46880.0</v>
      </c>
      <c r="O87" s="49">
        <f t="shared" si="14"/>
        <v>637</v>
      </c>
      <c r="P87" s="50">
        <f t="shared" si="15"/>
        <v>46790</v>
      </c>
      <c r="Q87" s="50">
        <f t="shared" si="16"/>
        <v>46820</v>
      </c>
      <c r="R87" s="51">
        <f t="shared" si="17"/>
        <v>46850</v>
      </c>
      <c r="S87" s="49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</row>
    <row r="88" ht="15.75" customHeight="1">
      <c r="A88" s="40"/>
      <c r="B88" s="7" t="s">
        <v>76</v>
      </c>
      <c r="C88" s="25" t="s">
        <v>540</v>
      </c>
      <c r="D88" s="47">
        <v>30206.0</v>
      </c>
      <c r="E88" s="30" t="s">
        <v>541</v>
      </c>
      <c r="F88" s="30" t="s">
        <v>23</v>
      </c>
      <c r="G88" s="30" t="s">
        <v>40</v>
      </c>
      <c r="H88" s="102" t="s">
        <v>25</v>
      </c>
      <c r="I88" s="30" t="s">
        <v>542</v>
      </c>
      <c r="J88" s="30" t="s">
        <v>543</v>
      </c>
      <c r="K88" s="49"/>
      <c r="L88" s="30" t="s">
        <v>41</v>
      </c>
      <c r="M88" s="30" t="s">
        <v>544</v>
      </c>
      <c r="N88" s="47">
        <v>46881.0</v>
      </c>
      <c r="O88" s="49">
        <f t="shared" si="14"/>
        <v>638</v>
      </c>
      <c r="P88" s="50">
        <f t="shared" si="15"/>
        <v>46791</v>
      </c>
      <c r="Q88" s="50">
        <f t="shared" si="16"/>
        <v>46821</v>
      </c>
      <c r="R88" s="51">
        <f t="shared" si="17"/>
        <v>46851</v>
      </c>
      <c r="S88" s="49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</row>
    <row r="89" ht="15.75" customHeight="1">
      <c r="A89" s="40"/>
      <c r="B89" s="7" t="s">
        <v>76</v>
      </c>
      <c r="C89" s="78" t="s">
        <v>545</v>
      </c>
      <c r="D89" s="77">
        <v>35784.0</v>
      </c>
      <c r="E89" s="78" t="s">
        <v>546</v>
      </c>
      <c r="F89" s="30" t="s">
        <v>23</v>
      </c>
      <c r="G89" s="30" t="s">
        <v>108</v>
      </c>
      <c r="H89" s="102" t="s">
        <v>74</v>
      </c>
      <c r="I89" s="30" t="s">
        <v>547</v>
      </c>
      <c r="J89" s="30" t="s">
        <v>548</v>
      </c>
      <c r="K89" s="49"/>
      <c r="L89" s="30" t="s">
        <v>41</v>
      </c>
      <c r="M89" s="155" t="s">
        <v>549</v>
      </c>
      <c r="N89" s="47">
        <v>46522.0</v>
      </c>
      <c r="O89" s="49">
        <f t="shared" si="14"/>
        <v>279</v>
      </c>
      <c r="P89" s="50">
        <f t="shared" si="15"/>
        <v>46432</v>
      </c>
      <c r="Q89" s="50">
        <f t="shared" si="16"/>
        <v>46462</v>
      </c>
      <c r="R89" s="51">
        <f t="shared" si="17"/>
        <v>46492</v>
      </c>
      <c r="S89" s="49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</row>
    <row r="90" ht="15.75" customHeight="1">
      <c r="A90" s="40"/>
      <c r="B90" s="7" t="s">
        <v>76</v>
      </c>
      <c r="C90" s="102" t="s">
        <v>550</v>
      </c>
      <c r="D90" s="77">
        <v>35598.0</v>
      </c>
      <c r="E90" s="78" t="s">
        <v>551</v>
      </c>
      <c r="F90" s="30" t="s">
        <v>23</v>
      </c>
      <c r="G90" s="30" t="s">
        <v>438</v>
      </c>
      <c r="H90" s="102" t="s">
        <v>74</v>
      </c>
      <c r="I90" s="30" t="s">
        <v>552</v>
      </c>
      <c r="J90" s="30" t="s">
        <v>553</v>
      </c>
      <c r="K90" s="49"/>
      <c r="L90" s="30" t="s">
        <v>41</v>
      </c>
      <c r="M90" s="30" t="s">
        <v>554</v>
      </c>
      <c r="N90" s="47">
        <v>46523.0</v>
      </c>
      <c r="O90" s="49">
        <f t="shared" si="14"/>
        <v>280</v>
      </c>
      <c r="P90" s="50">
        <f t="shared" si="15"/>
        <v>46433</v>
      </c>
      <c r="Q90" s="50">
        <f t="shared" si="16"/>
        <v>46463</v>
      </c>
      <c r="R90" s="51">
        <f t="shared" si="17"/>
        <v>46493</v>
      </c>
      <c r="S90" s="49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</row>
    <row r="91" ht="15.75" customHeight="1">
      <c r="A91" s="40"/>
      <c r="B91" s="7" t="s">
        <v>76</v>
      </c>
      <c r="C91" s="102" t="s">
        <v>555</v>
      </c>
      <c r="D91" s="77">
        <v>36890.0</v>
      </c>
      <c r="E91" s="93" t="s">
        <v>556</v>
      </c>
      <c r="F91" s="30" t="s">
        <v>23</v>
      </c>
      <c r="G91" s="30" t="s">
        <v>557</v>
      </c>
      <c r="H91" s="102" t="s">
        <v>74</v>
      </c>
      <c r="I91" s="30" t="s">
        <v>558</v>
      </c>
      <c r="J91" s="30" t="s">
        <v>559</v>
      </c>
      <c r="K91" s="49"/>
      <c r="L91" s="30" t="s">
        <v>41</v>
      </c>
      <c r="M91" s="30" t="s">
        <v>560</v>
      </c>
      <c r="N91" s="47">
        <v>46526.0</v>
      </c>
      <c r="O91" s="49">
        <f t="shared" si="14"/>
        <v>283</v>
      </c>
      <c r="P91" s="50">
        <f t="shared" si="15"/>
        <v>46436</v>
      </c>
      <c r="Q91" s="50">
        <f t="shared" si="16"/>
        <v>46466</v>
      </c>
      <c r="R91" s="51">
        <f t="shared" si="17"/>
        <v>46496</v>
      </c>
      <c r="S91" s="49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</row>
    <row r="92" ht="15.75" customHeight="1">
      <c r="A92" s="40"/>
      <c r="B92" s="7" t="s">
        <v>76</v>
      </c>
      <c r="C92" s="93" t="s">
        <v>561</v>
      </c>
      <c r="D92" s="77">
        <v>34436.0</v>
      </c>
      <c r="E92" s="93" t="s">
        <v>562</v>
      </c>
      <c r="F92" s="30" t="s">
        <v>50</v>
      </c>
      <c r="G92" s="30" t="s">
        <v>563</v>
      </c>
      <c r="H92" s="102" t="s">
        <v>74</v>
      </c>
      <c r="I92" s="30" t="s">
        <v>564</v>
      </c>
      <c r="J92" s="30" t="s">
        <v>565</v>
      </c>
      <c r="K92" s="49"/>
      <c r="L92" s="30" t="s">
        <v>41</v>
      </c>
      <c r="M92" s="30" t="s">
        <v>549</v>
      </c>
      <c r="N92" s="47">
        <v>46527.0</v>
      </c>
      <c r="O92" s="49">
        <f t="shared" si="14"/>
        <v>284</v>
      </c>
      <c r="P92" s="50">
        <f t="shared" si="15"/>
        <v>46437</v>
      </c>
      <c r="Q92" s="50">
        <f t="shared" si="16"/>
        <v>46467</v>
      </c>
      <c r="R92" s="51">
        <f t="shared" si="17"/>
        <v>46497</v>
      </c>
      <c r="S92" s="49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</row>
    <row r="93" ht="15.75" customHeight="1">
      <c r="A93" s="40"/>
      <c r="B93" s="7" t="s">
        <v>76</v>
      </c>
      <c r="C93" s="93" t="s">
        <v>566</v>
      </c>
      <c r="D93" s="77">
        <v>37553.0</v>
      </c>
      <c r="E93" s="93" t="s">
        <v>567</v>
      </c>
      <c r="F93" s="30" t="s">
        <v>50</v>
      </c>
      <c r="G93" s="30" t="s">
        <v>313</v>
      </c>
      <c r="H93" s="102" t="s">
        <v>66</v>
      </c>
      <c r="I93" s="30" t="s">
        <v>568</v>
      </c>
      <c r="J93" s="30" t="s">
        <v>569</v>
      </c>
      <c r="K93" s="49"/>
      <c r="L93" s="30" t="s">
        <v>41</v>
      </c>
      <c r="M93" s="30" t="s">
        <v>570</v>
      </c>
      <c r="N93" s="47">
        <v>46535.0</v>
      </c>
      <c r="O93" s="49">
        <f t="shared" si="14"/>
        <v>292</v>
      </c>
      <c r="P93" s="50">
        <f t="shared" si="15"/>
        <v>46445</v>
      </c>
      <c r="Q93" s="50">
        <f t="shared" si="16"/>
        <v>46475</v>
      </c>
      <c r="R93" s="51">
        <f t="shared" si="17"/>
        <v>46505</v>
      </c>
      <c r="S93" s="49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</row>
    <row r="94" ht="15.75" customHeight="1">
      <c r="A94" s="40"/>
      <c r="B94" s="7" t="s">
        <v>76</v>
      </c>
      <c r="C94" s="102" t="s">
        <v>571</v>
      </c>
      <c r="D94" s="77">
        <v>33670.0</v>
      </c>
      <c r="E94" s="93" t="s">
        <v>572</v>
      </c>
      <c r="F94" s="30" t="s">
        <v>23</v>
      </c>
      <c r="G94" s="93" t="s">
        <v>573</v>
      </c>
      <c r="H94" s="156" t="s">
        <v>74</v>
      </c>
      <c r="I94" s="30" t="s">
        <v>574</v>
      </c>
      <c r="J94" s="30" t="s">
        <v>575</v>
      </c>
      <c r="K94" s="49"/>
      <c r="L94" s="30" t="s">
        <v>41</v>
      </c>
      <c r="M94" s="30" t="s">
        <v>576</v>
      </c>
      <c r="N94" s="47">
        <v>46548.0</v>
      </c>
      <c r="O94" s="49">
        <f t="shared" si="14"/>
        <v>305</v>
      </c>
      <c r="P94" s="50">
        <f t="shared" si="15"/>
        <v>46458</v>
      </c>
      <c r="Q94" s="50">
        <f t="shared" si="16"/>
        <v>46488</v>
      </c>
      <c r="R94" s="51">
        <f t="shared" si="17"/>
        <v>46518</v>
      </c>
      <c r="S94" s="49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</row>
    <row r="95" ht="15.75" customHeight="1">
      <c r="A95" s="40"/>
      <c r="B95" s="7" t="s">
        <v>76</v>
      </c>
      <c r="C95" s="102" t="s">
        <v>577</v>
      </c>
      <c r="D95" s="77">
        <v>32554.0</v>
      </c>
      <c r="E95" s="78" t="s">
        <v>578</v>
      </c>
      <c r="F95" s="30" t="s">
        <v>23</v>
      </c>
      <c r="G95" s="30" t="s">
        <v>72</v>
      </c>
      <c r="H95" s="156" t="s">
        <v>74</v>
      </c>
      <c r="I95" s="30" t="s">
        <v>579</v>
      </c>
      <c r="J95" s="30" t="s">
        <v>580</v>
      </c>
      <c r="K95" s="49"/>
      <c r="L95" s="30" t="s">
        <v>41</v>
      </c>
      <c r="M95" s="30" t="s">
        <v>433</v>
      </c>
      <c r="N95" s="47">
        <v>46548.0</v>
      </c>
      <c r="O95" s="49">
        <f t="shared" si="14"/>
        <v>305</v>
      </c>
      <c r="P95" s="50">
        <f t="shared" si="15"/>
        <v>46458</v>
      </c>
      <c r="Q95" s="50">
        <f t="shared" si="16"/>
        <v>46488</v>
      </c>
      <c r="R95" s="51">
        <f t="shared" si="17"/>
        <v>46518</v>
      </c>
      <c r="S95" s="49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</row>
    <row r="96" ht="15.75" customHeight="1">
      <c r="A96" s="40"/>
      <c r="B96" s="7" t="s">
        <v>76</v>
      </c>
      <c r="C96" s="25" t="s">
        <v>581</v>
      </c>
      <c r="D96" s="77">
        <v>35598.0</v>
      </c>
      <c r="E96" s="78" t="s">
        <v>582</v>
      </c>
      <c r="F96" s="30" t="s">
        <v>50</v>
      </c>
      <c r="G96" s="30" t="s">
        <v>72</v>
      </c>
      <c r="H96" s="156" t="s">
        <v>74</v>
      </c>
      <c r="I96" s="30" t="s">
        <v>583</v>
      </c>
      <c r="J96" s="30" t="s">
        <v>584</v>
      </c>
      <c r="K96" s="49"/>
      <c r="L96" s="30" t="s">
        <v>41</v>
      </c>
      <c r="M96" s="30" t="s">
        <v>585</v>
      </c>
      <c r="N96" s="47">
        <v>46549.0</v>
      </c>
      <c r="O96" s="49">
        <f t="shared" si="14"/>
        <v>306</v>
      </c>
      <c r="P96" s="50">
        <f t="shared" si="15"/>
        <v>46459</v>
      </c>
      <c r="Q96" s="50">
        <f t="shared" si="16"/>
        <v>46489</v>
      </c>
      <c r="R96" s="51">
        <f t="shared" si="17"/>
        <v>46519</v>
      </c>
      <c r="S96" s="49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</row>
    <row r="97" ht="15.75" customHeight="1">
      <c r="A97" s="40"/>
      <c r="B97" s="7" t="s">
        <v>76</v>
      </c>
      <c r="C97" s="25" t="s">
        <v>586</v>
      </c>
      <c r="D97" s="77">
        <v>32402.0</v>
      </c>
      <c r="E97" s="78" t="s">
        <v>587</v>
      </c>
      <c r="F97" s="30" t="s">
        <v>50</v>
      </c>
      <c r="G97" s="30" t="s">
        <v>229</v>
      </c>
      <c r="H97" s="156" t="s">
        <v>55</v>
      </c>
      <c r="I97" s="30" t="s">
        <v>588</v>
      </c>
      <c r="J97" s="30" t="s">
        <v>589</v>
      </c>
      <c r="K97" s="49"/>
      <c r="L97" s="30" t="s">
        <v>41</v>
      </c>
      <c r="M97" s="30" t="s">
        <v>539</v>
      </c>
      <c r="N97" s="47">
        <v>46550.0</v>
      </c>
      <c r="O97" s="49">
        <f t="shared" si="14"/>
        <v>307</v>
      </c>
      <c r="P97" s="50">
        <f t="shared" si="15"/>
        <v>46460</v>
      </c>
      <c r="Q97" s="50">
        <f t="shared" si="16"/>
        <v>46490</v>
      </c>
      <c r="R97" s="51">
        <f t="shared" si="17"/>
        <v>46520</v>
      </c>
      <c r="S97" s="49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</row>
    <row r="98" ht="15.75" customHeight="1">
      <c r="A98" s="40"/>
      <c r="B98" s="7" t="s">
        <v>76</v>
      </c>
      <c r="C98" s="102" t="s">
        <v>590</v>
      </c>
      <c r="D98" s="77">
        <v>36905.0</v>
      </c>
      <c r="E98" s="78" t="s">
        <v>591</v>
      </c>
      <c r="F98" s="102" t="s">
        <v>50</v>
      </c>
      <c r="G98" s="102" t="s">
        <v>267</v>
      </c>
      <c r="H98" s="156" t="s">
        <v>74</v>
      </c>
      <c r="I98" s="156" t="s">
        <v>592</v>
      </c>
      <c r="J98" s="102" t="s">
        <v>593</v>
      </c>
      <c r="K98" s="157"/>
      <c r="L98" s="102" t="s">
        <v>41</v>
      </c>
      <c r="M98" s="157"/>
      <c r="N98" s="143">
        <v>46553.0</v>
      </c>
      <c r="O98" s="49">
        <f t="shared" si="14"/>
        <v>310</v>
      </c>
      <c r="P98" s="50">
        <f t="shared" si="15"/>
        <v>46463</v>
      </c>
      <c r="Q98" s="50">
        <f t="shared" si="16"/>
        <v>46493</v>
      </c>
      <c r="R98" s="51">
        <f t="shared" si="17"/>
        <v>46523</v>
      </c>
      <c r="S98" s="49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</row>
    <row r="99" ht="15.75" customHeight="1">
      <c r="A99" s="40"/>
      <c r="B99" s="7" t="s">
        <v>76</v>
      </c>
      <c r="C99" s="102" t="s">
        <v>594</v>
      </c>
      <c r="D99" s="77">
        <v>35032.0</v>
      </c>
      <c r="E99" s="78" t="s">
        <v>595</v>
      </c>
      <c r="F99" s="30" t="s">
        <v>50</v>
      </c>
      <c r="G99" s="30" t="s">
        <v>596</v>
      </c>
      <c r="H99" s="156" t="s">
        <v>139</v>
      </c>
      <c r="I99" s="30" t="s">
        <v>597</v>
      </c>
      <c r="J99" s="30" t="s">
        <v>598</v>
      </c>
      <c r="K99" s="49"/>
      <c r="L99" s="30" t="s">
        <v>41</v>
      </c>
      <c r="M99" s="49"/>
      <c r="N99" s="47">
        <v>46560.0</v>
      </c>
      <c r="O99" s="49">
        <f t="shared" si="14"/>
        <v>317</v>
      </c>
      <c r="P99" s="50">
        <f t="shared" si="15"/>
        <v>46470</v>
      </c>
      <c r="Q99" s="50">
        <f t="shared" si="16"/>
        <v>46500</v>
      </c>
      <c r="R99" s="51">
        <f t="shared" si="17"/>
        <v>46530</v>
      </c>
      <c r="S99" s="49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</row>
    <row r="100" ht="15.75" customHeight="1">
      <c r="A100" s="40"/>
      <c r="B100" s="7" t="s">
        <v>76</v>
      </c>
      <c r="C100" s="25" t="s">
        <v>599</v>
      </c>
      <c r="D100" s="77">
        <v>30560.0</v>
      </c>
      <c r="E100" s="78" t="s">
        <v>600</v>
      </c>
      <c r="F100" s="30" t="s">
        <v>50</v>
      </c>
      <c r="G100" s="30" t="s">
        <v>40</v>
      </c>
      <c r="H100" s="156" t="s">
        <v>25</v>
      </c>
      <c r="I100" s="30" t="s">
        <v>601</v>
      </c>
      <c r="J100" s="30" t="s">
        <v>602</v>
      </c>
      <c r="K100" s="49"/>
      <c r="L100" s="30" t="s">
        <v>41</v>
      </c>
      <c r="M100" s="49"/>
      <c r="N100" s="47">
        <v>46561.0</v>
      </c>
      <c r="O100" s="49">
        <f t="shared" si="14"/>
        <v>318</v>
      </c>
      <c r="P100" s="50">
        <f t="shared" si="15"/>
        <v>46471</v>
      </c>
      <c r="Q100" s="50">
        <f t="shared" si="16"/>
        <v>46501</v>
      </c>
      <c r="R100" s="51">
        <f t="shared" si="17"/>
        <v>46531</v>
      </c>
      <c r="S100" s="49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</row>
    <row r="101" ht="15.75" customHeight="1">
      <c r="A101" s="40"/>
      <c r="B101" s="7" t="s">
        <v>76</v>
      </c>
      <c r="C101" s="102" t="s">
        <v>603</v>
      </c>
      <c r="D101" s="77">
        <v>32877.0</v>
      </c>
      <c r="E101" s="78" t="s">
        <v>604</v>
      </c>
      <c r="F101" s="30" t="s">
        <v>23</v>
      </c>
      <c r="G101" s="30" t="s">
        <v>313</v>
      </c>
      <c r="H101" s="156" t="s">
        <v>66</v>
      </c>
      <c r="I101" s="30" t="s">
        <v>605</v>
      </c>
      <c r="J101" s="30" t="s">
        <v>606</v>
      </c>
      <c r="K101" s="49"/>
      <c r="L101" s="30" t="s">
        <v>41</v>
      </c>
      <c r="M101" s="49"/>
      <c r="N101" s="47">
        <v>46553.0</v>
      </c>
      <c r="O101" s="49">
        <f t="shared" si="14"/>
        <v>310</v>
      </c>
      <c r="P101" s="50">
        <f t="shared" si="15"/>
        <v>46463</v>
      </c>
      <c r="Q101" s="50">
        <f t="shared" si="16"/>
        <v>46493</v>
      </c>
      <c r="R101" s="51">
        <f t="shared" si="17"/>
        <v>46523</v>
      </c>
      <c r="S101" s="49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</row>
    <row r="102" ht="15.75" customHeight="1">
      <c r="A102" s="40"/>
      <c r="B102" s="7" t="s">
        <v>76</v>
      </c>
      <c r="C102" s="102" t="s">
        <v>607</v>
      </c>
      <c r="D102" s="77">
        <v>34778.0</v>
      </c>
      <c r="E102" s="78" t="s">
        <v>608</v>
      </c>
      <c r="F102" s="30" t="s">
        <v>23</v>
      </c>
      <c r="G102" s="30" t="s">
        <v>72</v>
      </c>
      <c r="H102" s="156" t="s">
        <v>74</v>
      </c>
      <c r="I102" s="30" t="s">
        <v>609</v>
      </c>
      <c r="J102" s="30" t="s">
        <v>610</v>
      </c>
      <c r="K102" s="49"/>
      <c r="L102" s="30" t="s">
        <v>41</v>
      </c>
      <c r="M102" s="49"/>
      <c r="N102" s="47">
        <v>46554.0</v>
      </c>
      <c r="O102" s="49">
        <f t="shared" si="14"/>
        <v>311</v>
      </c>
      <c r="P102" s="50">
        <f t="shared" si="15"/>
        <v>46464</v>
      </c>
      <c r="Q102" s="50">
        <f t="shared" si="16"/>
        <v>46494</v>
      </c>
      <c r="R102" s="51">
        <f t="shared" si="17"/>
        <v>46524</v>
      </c>
      <c r="S102" s="49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</row>
    <row r="103" ht="15.75" customHeight="1">
      <c r="A103" s="40"/>
      <c r="B103" s="7" t="s">
        <v>76</v>
      </c>
      <c r="C103" s="102" t="s">
        <v>611</v>
      </c>
      <c r="D103" s="77">
        <v>33225.0</v>
      </c>
      <c r="E103" s="78" t="s">
        <v>612</v>
      </c>
      <c r="F103" s="30" t="s">
        <v>50</v>
      </c>
      <c r="G103" s="30" t="s">
        <v>613</v>
      </c>
      <c r="H103" s="156" t="s">
        <v>75</v>
      </c>
      <c r="I103" s="30" t="s">
        <v>614</v>
      </c>
      <c r="J103" s="30" t="s">
        <v>615</v>
      </c>
      <c r="K103" s="49"/>
      <c r="L103" s="30" t="s">
        <v>41</v>
      </c>
      <c r="M103" s="49"/>
      <c r="N103" s="47">
        <v>46564.0</v>
      </c>
      <c r="O103" s="49">
        <f t="shared" si="14"/>
        <v>321</v>
      </c>
      <c r="P103" s="50">
        <f t="shared" si="15"/>
        <v>46474</v>
      </c>
      <c r="Q103" s="50">
        <f t="shared" si="16"/>
        <v>46504</v>
      </c>
      <c r="R103" s="51">
        <f t="shared" si="17"/>
        <v>46534</v>
      </c>
      <c r="S103" s="49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</row>
    <row r="104" ht="15.75" customHeight="1">
      <c r="A104" s="40"/>
      <c r="B104" s="7" t="s">
        <v>76</v>
      </c>
      <c r="C104" s="102" t="s">
        <v>616</v>
      </c>
      <c r="D104" s="77">
        <v>32109.0</v>
      </c>
      <c r="E104" s="78" t="s">
        <v>617</v>
      </c>
      <c r="F104" s="30" t="s">
        <v>23</v>
      </c>
      <c r="G104" s="30" t="s">
        <v>72</v>
      </c>
      <c r="H104" s="156" t="s">
        <v>74</v>
      </c>
      <c r="I104" s="28" t="s">
        <v>618</v>
      </c>
      <c r="J104" s="30" t="s">
        <v>619</v>
      </c>
      <c r="K104" s="49"/>
      <c r="L104" s="30" t="s">
        <v>41</v>
      </c>
      <c r="M104" s="49"/>
      <c r="N104" s="47">
        <v>46564.0</v>
      </c>
      <c r="O104" s="49">
        <f t="shared" si="14"/>
        <v>321</v>
      </c>
      <c r="P104" s="50">
        <f t="shared" si="15"/>
        <v>46474</v>
      </c>
      <c r="Q104" s="50">
        <f t="shared" si="16"/>
        <v>46504</v>
      </c>
      <c r="R104" s="51">
        <f t="shared" si="17"/>
        <v>46534</v>
      </c>
      <c r="S104" s="49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</row>
    <row r="105" ht="15.75" customHeight="1">
      <c r="A105" s="40"/>
      <c r="B105" s="7" t="s">
        <v>76</v>
      </c>
      <c r="C105" s="102" t="s">
        <v>620</v>
      </c>
      <c r="D105" s="77">
        <v>33641.0</v>
      </c>
      <c r="E105" s="78" t="s">
        <v>621</v>
      </c>
      <c r="F105" s="30" t="s">
        <v>23</v>
      </c>
      <c r="G105" s="30" t="s">
        <v>115</v>
      </c>
      <c r="H105" s="156" t="s">
        <v>116</v>
      </c>
      <c r="I105" s="30" t="s">
        <v>622</v>
      </c>
      <c r="J105" s="30" t="s">
        <v>623</v>
      </c>
      <c r="K105" s="49"/>
      <c r="L105" s="30" t="s">
        <v>41</v>
      </c>
      <c r="M105" s="49"/>
      <c r="N105" s="47">
        <v>46564.0</v>
      </c>
      <c r="O105" s="49">
        <f t="shared" si="14"/>
        <v>321</v>
      </c>
      <c r="P105" s="50">
        <f t="shared" si="15"/>
        <v>46474</v>
      </c>
      <c r="Q105" s="50">
        <f t="shared" si="16"/>
        <v>46504</v>
      </c>
      <c r="R105" s="51">
        <f t="shared" si="17"/>
        <v>46534</v>
      </c>
      <c r="S105" s="49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</row>
    <row r="106" ht="15.75" customHeight="1">
      <c r="A106" s="40"/>
      <c r="B106" s="7" t="s">
        <v>76</v>
      </c>
      <c r="C106" s="158" t="s">
        <v>146</v>
      </c>
      <c r="D106" s="96">
        <v>33893.0</v>
      </c>
      <c r="E106" s="28">
        <v>3.624697177E10</v>
      </c>
      <c r="F106" s="16" t="s">
        <v>23</v>
      </c>
      <c r="G106" s="28" t="s">
        <v>150</v>
      </c>
      <c r="H106" s="16" t="s">
        <v>74</v>
      </c>
      <c r="I106" s="28" t="s">
        <v>154</v>
      </c>
      <c r="J106" s="28" t="s">
        <v>152</v>
      </c>
      <c r="K106" s="16"/>
      <c r="L106" s="30" t="s">
        <v>41</v>
      </c>
      <c r="M106" s="159"/>
      <c r="N106" s="160">
        <v>46564.0</v>
      </c>
      <c r="O106" s="49">
        <f t="shared" si="14"/>
        <v>321</v>
      </c>
      <c r="P106" s="50">
        <f t="shared" si="15"/>
        <v>46474</v>
      </c>
      <c r="Q106" s="50">
        <f t="shared" si="16"/>
        <v>46504</v>
      </c>
      <c r="R106" s="51">
        <f t="shared" si="17"/>
        <v>46534</v>
      </c>
      <c r="S106" s="159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</row>
    <row r="107" ht="15.75" customHeight="1">
      <c r="A107" s="40"/>
      <c r="B107" s="7" t="s">
        <v>76</v>
      </c>
      <c r="C107" s="102" t="s">
        <v>45</v>
      </c>
      <c r="D107" s="77">
        <v>28628.0</v>
      </c>
      <c r="E107" s="78" t="s">
        <v>624</v>
      </c>
      <c r="F107" s="30" t="s">
        <v>23</v>
      </c>
      <c r="G107" s="30" t="s">
        <v>229</v>
      </c>
      <c r="H107" s="16" t="s">
        <v>74</v>
      </c>
      <c r="I107" s="30" t="s">
        <v>625</v>
      </c>
      <c r="J107" s="30" t="s">
        <v>58</v>
      </c>
      <c r="K107" s="49"/>
      <c r="L107" s="30" t="s">
        <v>41</v>
      </c>
      <c r="M107" s="49"/>
      <c r="N107" s="47">
        <v>46570.0</v>
      </c>
      <c r="O107" s="49">
        <f t="shared" si="14"/>
        <v>327</v>
      </c>
      <c r="P107" s="50">
        <f t="shared" si="15"/>
        <v>46480</v>
      </c>
      <c r="Q107" s="50">
        <f t="shared" si="16"/>
        <v>46510</v>
      </c>
      <c r="R107" s="51">
        <f t="shared" si="17"/>
        <v>46540</v>
      </c>
      <c r="S107" s="49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</row>
    <row r="108" ht="15.75" customHeight="1">
      <c r="A108" s="40"/>
      <c r="B108" s="7" t="s">
        <v>76</v>
      </c>
      <c r="C108" s="102" t="s">
        <v>626</v>
      </c>
      <c r="D108" s="77">
        <v>37466.0</v>
      </c>
      <c r="E108" s="78" t="s">
        <v>627</v>
      </c>
      <c r="F108" s="30" t="s">
        <v>23</v>
      </c>
      <c r="G108" s="30" t="s">
        <v>309</v>
      </c>
      <c r="H108" s="16" t="s">
        <v>28</v>
      </c>
      <c r="I108" s="30" t="s">
        <v>628</v>
      </c>
      <c r="J108" s="30" t="s">
        <v>629</v>
      </c>
      <c r="K108" s="49"/>
      <c r="L108" s="30" t="s">
        <v>41</v>
      </c>
      <c r="M108" s="49"/>
      <c r="N108" s="47">
        <v>46569.0</v>
      </c>
      <c r="O108" s="49">
        <f t="shared" si="14"/>
        <v>326</v>
      </c>
      <c r="P108" s="50">
        <f t="shared" si="15"/>
        <v>46479</v>
      </c>
      <c r="Q108" s="50">
        <f t="shared" si="16"/>
        <v>46509</v>
      </c>
      <c r="R108" s="51">
        <f t="shared" si="17"/>
        <v>46539</v>
      </c>
      <c r="S108" s="49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</row>
    <row r="109" ht="15.75" customHeight="1">
      <c r="A109" s="40"/>
      <c r="B109" s="7" t="s">
        <v>76</v>
      </c>
      <c r="C109" s="102" t="s">
        <v>630</v>
      </c>
      <c r="D109" s="77">
        <v>29397.0</v>
      </c>
      <c r="E109" s="78" t="s">
        <v>631</v>
      </c>
      <c r="F109" s="30" t="s">
        <v>50</v>
      </c>
      <c r="G109" s="30" t="s">
        <v>632</v>
      </c>
      <c r="H109" s="16" t="s">
        <v>55</v>
      </c>
      <c r="I109" s="30" t="s">
        <v>633</v>
      </c>
      <c r="J109" s="30" t="s">
        <v>634</v>
      </c>
      <c r="K109" s="49"/>
      <c r="L109" s="30" t="s">
        <v>41</v>
      </c>
      <c r="M109" s="49"/>
      <c r="N109" s="47">
        <v>46571.0</v>
      </c>
      <c r="O109" s="49">
        <f t="shared" si="14"/>
        <v>328</v>
      </c>
      <c r="P109" s="50">
        <f t="shared" si="15"/>
        <v>46481</v>
      </c>
      <c r="Q109" s="50">
        <f t="shared" si="16"/>
        <v>46511</v>
      </c>
      <c r="R109" s="51">
        <f t="shared" si="17"/>
        <v>46541</v>
      </c>
      <c r="S109" s="49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</row>
    <row r="110" ht="15.75" customHeight="1">
      <c r="A110" s="161"/>
      <c r="B110" s="162" t="s">
        <v>76</v>
      </c>
      <c r="C110" s="163" t="s">
        <v>635</v>
      </c>
      <c r="D110" s="164">
        <v>34050.0</v>
      </c>
      <c r="E110" s="165" t="s">
        <v>636</v>
      </c>
      <c r="F110" s="166" t="s">
        <v>23</v>
      </c>
      <c r="G110" s="166" t="s">
        <v>637</v>
      </c>
      <c r="H110" s="167" t="s">
        <v>74</v>
      </c>
      <c r="I110" s="168" t="s">
        <v>638</v>
      </c>
      <c r="J110" s="168" t="s">
        <v>639</v>
      </c>
      <c r="K110" s="151"/>
      <c r="L110" s="166" t="s">
        <v>41</v>
      </c>
      <c r="M110" s="151"/>
      <c r="N110" s="169">
        <v>46569.0</v>
      </c>
      <c r="O110" s="151">
        <f t="shared" si="14"/>
        <v>326</v>
      </c>
      <c r="P110" s="152">
        <f t="shared" si="15"/>
        <v>46479</v>
      </c>
      <c r="Q110" s="152">
        <f t="shared" si="16"/>
        <v>46509</v>
      </c>
      <c r="R110" s="153">
        <f t="shared" si="17"/>
        <v>46539</v>
      </c>
      <c r="S110" s="151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</row>
    <row r="111" ht="15.75" customHeight="1">
      <c r="A111" s="40"/>
      <c r="B111" s="7" t="s">
        <v>76</v>
      </c>
      <c r="C111" s="25" t="s">
        <v>45</v>
      </c>
      <c r="D111" s="170">
        <v>28628.0</v>
      </c>
      <c r="E111" s="78" t="s">
        <v>624</v>
      </c>
      <c r="F111" s="102" t="s">
        <v>23</v>
      </c>
      <c r="G111" s="78" t="s">
        <v>229</v>
      </c>
      <c r="H111" s="93" t="s">
        <v>74</v>
      </c>
      <c r="I111" s="78" t="s">
        <v>625</v>
      </c>
      <c r="J111" s="171" t="s">
        <v>640</v>
      </c>
      <c r="K111" s="78"/>
      <c r="L111" s="78" t="s">
        <v>41</v>
      </c>
      <c r="M111" s="78"/>
      <c r="N111" s="172">
        <v>46571.0</v>
      </c>
      <c r="O111" s="49">
        <f t="shared" si="14"/>
        <v>328</v>
      </c>
      <c r="P111" s="172">
        <v>46480.0</v>
      </c>
      <c r="Q111" s="172">
        <v>46510.0</v>
      </c>
      <c r="R111" s="172">
        <v>46540.0</v>
      </c>
      <c r="S111" s="173"/>
      <c r="T111" s="71"/>
      <c r="U111" s="71"/>
      <c r="V111" s="71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</row>
    <row r="112" ht="15.75" customHeight="1">
      <c r="A112" s="40"/>
      <c r="B112" s="7" t="s">
        <v>76</v>
      </c>
      <c r="C112" s="25" t="s">
        <v>353</v>
      </c>
      <c r="D112" s="143">
        <v>27814.0</v>
      </c>
      <c r="E112" s="102">
        <v>8.562719412E10</v>
      </c>
      <c r="F112" s="102" t="s">
        <v>23</v>
      </c>
      <c r="G112" s="102" t="s">
        <v>641</v>
      </c>
      <c r="H112" s="102" t="s">
        <v>74</v>
      </c>
      <c r="I112" s="102" t="s">
        <v>642</v>
      </c>
      <c r="J112" s="9" t="s">
        <v>643</v>
      </c>
      <c r="K112" s="78"/>
      <c r="L112" s="102" t="s">
        <v>41</v>
      </c>
      <c r="M112" s="78"/>
      <c r="N112" s="172">
        <v>46575.0</v>
      </c>
      <c r="O112" s="49">
        <f t="shared" si="14"/>
        <v>332</v>
      </c>
      <c r="P112" s="172">
        <v>46482.0</v>
      </c>
      <c r="Q112" s="172">
        <v>46512.0</v>
      </c>
      <c r="R112" s="172">
        <v>46542.0</v>
      </c>
      <c r="S112" s="173"/>
      <c r="T112" s="71"/>
      <c r="U112" s="71"/>
      <c r="V112" s="71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</row>
    <row r="113" ht="15.75" customHeight="1">
      <c r="A113" s="40"/>
      <c r="B113" s="7" t="s">
        <v>76</v>
      </c>
      <c r="C113" s="25" t="s">
        <v>644</v>
      </c>
      <c r="D113" s="20">
        <v>33321.0</v>
      </c>
      <c r="E113" s="60" t="s">
        <v>645</v>
      </c>
      <c r="F113" s="102" t="s">
        <v>50</v>
      </c>
      <c r="G113" s="102" t="s">
        <v>646</v>
      </c>
      <c r="H113" s="102" t="s">
        <v>74</v>
      </c>
      <c r="I113" s="60" t="s">
        <v>642</v>
      </c>
      <c r="J113" s="60" t="s">
        <v>647</v>
      </c>
      <c r="K113" s="78"/>
      <c r="L113" s="102" t="s">
        <v>41</v>
      </c>
      <c r="M113" s="61" t="s">
        <v>648</v>
      </c>
      <c r="N113" s="172">
        <v>46575.0</v>
      </c>
      <c r="O113" s="49">
        <f t="shared" si="14"/>
        <v>332</v>
      </c>
      <c r="P113" s="172">
        <v>46484.0</v>
      </c>
      <c r="Q113" s="172">
        <v>46515.0</v>
      </c>
      <c r="R113" s="172">
        <v>46545.0</v>
      </c>
      <c r="S113" s="173"/>
      <c r="T113" s="71"/>
      <c r="U113" s="71"/>
      <c r="V113" s="71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</row>
    <row r="114" ht="15.75" customHeight="1">
      <c r="A114" s="174"/>
      <c r="B114" s="7" t="s">
        <v>76</v>
      </c>
      <c r="C114" s="9" t="s">
        <v>649</v>
      </c>
      <c r="D114" s="20">
        <v>35342.0</v>
      </c>
      <c r="E114" s="60" t="s">
        <v>650</v>
      </c>
      <c r="F114" s="22" t="s">
        <v>23</v>
      </c>
      <c r="G114" s="60" t="s">
        <v>651</v>
      </c>
      <c r="H114" s="102" t="s">
        <v>652</v>
      </c>
      <c r="I114" s="60" t="s">
        <v>653</v>
      </c>
      <c r="J114" s="60" t="s">
        <v>654</v>
      </c>
      <c r="K114" s="109"/>
      <c r="L114" s="22" t="s">
        <v>41</v>
      </c>
      <c r="M114" s="109"/>
      <c r="N114" s="37">
        <v>46579.0</v>
      </c>
      <c r="O114" s="49">
        <f t="shared" si="14"/>
        <v>336</v>
      </c>
      <c r="P114" s="172">
        <v>46485.0</v>
      </c>
      <c r="Q114" s="172">
        <v>46516.0</v>
      </c>
      <c r="R114" s="172">
        <v>46546.0</v>
      </c>
      <c r="S114" s="109"/>
      <c r="T114" s="175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175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 t="s">
        <v>654</v>
      </c>
      <c r="AV114" s="26" t="s">
        <v>655</v>
      </c>
      <c r="AW114" s="26" t="s">
        <v>656</v>
      </c>
      <c r="AX114" s="26" t="s">
        <v>657</v>
      </c>
      <c r="AY114" s="26" t="s">
        <v>658</v>
      </c>
      <c r="AZ114" s="26"/>
      <c r="BA114" s="26"/>
      <c r="BB114" s="26"/>
      <c r="BC114" s="26"/>
      <c r="BD114" s="26"/>
      <c r="BE114" s="26"/>
    </row>
    <row r="115" ht="15.75" customHeight="1">
      <c r="A115" s="174"/>
      <c r="B115" s="7" t="s">
        <v>76</v>
      </c>
      <c r="C115" s="9" t="s">
        <v>659</v>
      </c>
      <c r="D115" s="20">
        <v>33602.0</v>
      </c>
      <c r="E115" s="60" t="s">
        <v>660</v>
      </c>
      <c r="F115" s="22" t="s">
        <v>23</v>
      </c>
      <c r="G115" s="60" t="s">
        <v>465</v>
      </c>
      <c r="H115" s="102" t="s">
        <v>28</v>
      </c>
      <c r="I115" s="60" t="s">
        <v>661</v>
      </c>
      <c r="J115" s="60" t="s">
        <v>662</v>
      </c>
      <c r="K115" s="109"/>
      <c r="L115" s="22" t="s">
        <v>41</v>
      </c>
      <c r="M115" s="109"/>
      <c r="N115" s="37">
        <v>46580.0</v>
      </c>
      <c r="O115" s="49">
        <f t="shared" si="14"/>
        <v>337</v>
      </c>
      <c r="P115" s="172">
        <v>46486.0</v>
      </c>
      <c r="Q115" s="172">
        <v>46517.0</v>
      </c>
      <c r="R115" s="172">
        <v>46547.0</v>
      </c>
      <c r="S115" s="109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175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 t="s">
        <v>662</v>
      </c>
      <c r="AV115" s="26" t="s">
        <v>655</v>
      </c>
      <c r="AW115" s="26" t="s">
        <v>663</v>
      </c>
      <c r="AX115" s="26"/>
      <c r="AY115" s="26" t="s">
        <v>658</v>
      </c>
      <c r="AZ115" s="26"/>
      <c r="BA115" s="26"/>
      <c r="BB115" s="26"/>
      <c r="BC115" s="26"/>
      <c r="BD115" s="26"/>
      <c r="BE115" s="26"/>
    </row>
    <row r="116" ht="15.75" customHeight="1">
      <c r="A116" s="174"/>
      <c r="B116" s="7" t="s">
        <v>76</v>
      </c>
      <c r="C116" s="9" t="s">
        <v>664</v>
      </c>
      <c r="D116" s="20">
        <v>33963.0</v>
      </c>
      <c r="E116" s="60" t="s">
        <v>665</v>
      </c>
      <c r="F116" s="22" t="s">
        <v>23</v>
      </c>
      <c r="G116" s="60" t="s">
        <v>108</v>
      </c>
      <c r="H116" s="102" t="s">
        <v>74</v>
      </c>
      <c r="I116" s="60" t="s">
        <v>666</v>
      </c>
      <c r="J116" s="60" t="s">
        <v>667</v>
      </c>
      <c r="K116" s="109"/>
      <c r="L116" s="22" t="s">
        <v>41</v>
      </c>
      <c r="M116" s="109"/>
      <c r="N116" s="37">
        <v>46584.0</v>
      </c>
      <c r="O116" s="49">
        <f t="shared" si="14"/>
        <v>341</v>
      </c>
      <c r="P116" s="172">
        <v>46487.0</v>
      </c>
      <c r="Q116" s="172">
        <v>46518.0</v>
      </c>
      <c r="R116" s="172">
        <v>46548.0</v>
      </c>
      <c r="S116" s="109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175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 t="s">
        <v>667</v>
      </c>
      <c r="AV116" s="26" t="s">
        <v>655</v>
      </c>
      <c r="AW116" s="26" t="s">
        <v>668</v>
      </c>
      <c r="AX116" s="26" t="s">
        <v>669</v>
      </c>
      <c r="AY116" s="26" t="s">
        <v>658</v>
      </c>
      <c r="AZ116" s="26"/>
      <c r="BA116" s="26"/>
      <c r="BB116" s="26"/>
      <c r="BC116" s="26"/>
      <c r="BD116" s="26"/>
      <c r="BE116" s="26"/>
    </row>
    <row r="117" ht="15.75" customHeight="1">
      <c r="B117" s="7" t="s">
        <v>76</v>
      </c>
      <c r="C117" s="9" t="s">
        <v>670</v>
      </c>
      <c r="D117" s="20">
        <v>35251.0</v>
      </c>
      <c r="E117" s="60" t="s">
        <v>671</v>
      </c>
      <c r="F117" s="22" t="s">
        <v>23</v>
      </c>
      <c r="G117" s="60" t="s">
        <v>108</v>
      </c>
      <c r="H117" s="102" t="s">
        <v>74</v>
      </c>
      <c r="I117" s="60" t="s">
        <v>672</v>
      </c>
      <c r="J117" s="60" t="s">
        <v>673</v>
      </c>
      <c r="K117" s="109"/>
      <c r="L117" s="22" t="s">
        <v>33</v>
      </c>
      <c r="M117" s="109"/>
      <c r="N117" s="37">
        <v>46584.0</v>
      </c>
      <c r="O117" s="49">
        <f t="shared" si="14"/>
        <v>341</v>
      </c>
      <c r="P117" s="172">
        <v>46488.0</v>
      </c>
      <c r="Q117" s="172">
        <v>46519.0</v>
      </c>
      <c r="R117" s="172">
        <v>46549.0</v>
      </c>
      <c r="S117" s="109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175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 t="s">
        <v>673</v>
      </c>
      <c r="AV117" s="26" t="s">
        <v>655</v>
      </c>
      <c r="AW117" s="26" t="s">
        <v>554</v>
      </c>
      <c r="AX117" s="26" t="s">
        <v>674</v>
      </c>
      <c r="AY117" s="26" t="s">
        <v>658</v>
      </c>
      <c r="AZ117" s="26"/>
      <c r="BA117" s="26"/>
      <c r="BB117" s="26"/>
      <c r="BC117" s="26"/>
      <c r="BD117" s="26"/>
      <c r="BE117" s="26"/>
    </row>
    <row r="118" ht="15.75" customHeight="1">
      <c r="B118" s="7" t="s">
        <v>76</v>
      </c>
      <c r="C118" s="9" t="s">
        <v>222</v>
      </c>
      <c r="D118" s="20">
        <v>25099.0</v>
      </c>
      <c r="E118" s="60" t="s">
        <v>675</v>
      </c>
      <c r="F118" s="22" t="s">
        <v>23</v>
      </c>
      <c r="G118" s="60" t="s">
        <v>40</v>
      </c>
      <c r="H118" s="102" t="s">
        <v>25</v>
      </c>
      <c r="I118" s="60" t="s">
        <v>676</v>
      </c>
      <c r="J118" s="60" t="s">
        <v>677</v>
      </c>
      <c r="K118" s="109"/>
      <c r="L118" s="22" t="s">
        <v>41</v>
      </c>
      <c r="M118" s="109"/>
      <c r="N118" s="37">
        <v>46587.0</v>
      </c>
      <c r="O118" s="49">
        <f t="shared" si="14"/>
        <v>344</v>
      </c>
      <c r="P118" s="172">
        <v>46489.0</v>
      </c>
      <c r="Q118" s="172">
        <v>46520.0</v>
      </c>
      <c r="R118" s="172">
        <v>46550.0</v>
      </c>
      <c r="S118" s="109"/>
      <c r="T118" s="175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175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 t="s">
        <v>677</v>
      </c>
      <c r="AV118" s="26" t="s">
        <v>655</v>
      </c>
      <c r="AW118" s="26" t="s">
        <v>678</v>
      </c>
      <c r="AX118" s="26" t="s">
        <v>679</v>
      </c>
      <c r="AY118" s="26" t="s">
        <v>658</v>
      </c>
      <c r="AZ118" s="26"/>
      <c r="BA118" s="26"/>
      <c r="BB118" s="26"/>
      <c r="BC118" s="26"/>
      <c r="BD118" s="26"/>
      <c r="BE118" s="26"/>
    </row>
    <row r="119" ht="15.75" customHeight="1">
      <c r="B119" s="7" t="s">
        <v>76</v>
      </c>
      <c r="C119" s="9" t="s">
        <v>680</v>
      </c>
      <c r="D119" s="20">
        <v>31399.0</v>
      </c>
      <c r="E119" s="60" t="s">
        <v>681</v>
      </c>
      <c r="F119" s="22" t="s">
        <v>50</v>
      </c>
      <c r="G119" s="60" t="s">
        <v>229</v>
      </c>
      <c r="H119" s="93" t="s">
        <v>55</v>
      </c>
      <c r="I119" s="60" t="s">
        <v>682</v>
      </c>
      <c r="J119" s="60" t="s">
        <v>683</v>
      </c>
      <c r="K119" s="109"/>
      <c r="L119" s="22" t="s">
        <v>41</v>
      </c>
      <c r="M119" s="109"/>
      <c r="N119" s="37">
        <v>46588.0</v>
      </c>
      <c r="O119" s="49">
        <f t="shared" si="14"/>
        <v>345</v>
      </c>
      <c r="P119" s="172">
        <v>46490.0</v>
      </c>
      <c r="Q119" s="172">
        <v>46521.0</v>
      </c>
      <c r="R119" s="172">
        <v>46551.0</v>
      </c>
      <c r="S119" s="109"/>
      <c r="T119" s="175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175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 t="s">
        <v>683</v>
      </c>
      <c r="AV119" s="26" t="s">
        <v>655</v>
      </c>
      <c r="AW119" s="26" t="s">
        <v>684</v>
      </c>
      <c r="AX119" s="26" t="s">
        <v>685</v>
      </c>
      <c r="AY119" s="26" t="s">
        <v>658</v>
      </c>
      <c r="AZ119" s="26"/>
      <c r="BA119" s="26"/>
      <c r="BB119" s="26"/>
      <c r="BC119" s="26"/>
      <c r="BD119" s="26"/>
      <c r="BE119" s="26"/>
    </row>
    <row r="120" ht="15.75" customHeight="1">
      <c r="B120" s="7" t="s">
        <v>76</v>
      </c>
      <c r="C120" s="9" t="s">
        <v>686</v>
      </c>
      <c r="D120" s="20">
        <v>38801.0</v>
      </c>
      <c r="E120" s="60" t="s">
        <v>687</v>
      </c>
      <c r="F120" s="22" t="s">
        <v>50</v>
      </c>
      <c r="G120" s="60" t="s">
        <v>688</v>
      </c>
      <c r="H120" s="102" t="s">
        <v>74</v>
      </c>
      <c r="I120" s="60" t="s">
        <v>689</v>
      </c>
      <c r="J120" s="60" t="s">
        <v>690</v>
      </c>
      <c r="K120" s="109"/>
      <c r="L120" s="22" t="s">
        <v>31</v>
      </c>
      <c r="M120" s="109"/>
      <c r="N120" s="37">
        <v>46589.0</v>
      </c>
      <c r="O120" s="49">
        <f t="shared" si="14"/>
        <v>346</v>
      </c>
      <c r="P120" s="172">
        <v>46491.0</v>
      </c>
      <c r="Q120" s="172">
        <v>46522.0</v>
      </c>
      <c r="R120" s="172">
        <v>46552.0</v>
      </c>
      <c r="S120" s="109"/>
      <c r="T120" s="175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175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 t="s">
        <v>690</v>
      </c>
      <c r="AV120" s="26" t="s">
        <v>655</v>
      </c>
      <c r="AW120" s="26" t="s">
        <v>691</v>
      </c>
      <c r="AX120" s="26" t="s">
        <v>692</v>
      </c>
      <c r="AY120" s="26" t="s">
        <v>658</v>
      </c>
      <c r="AZ120" s="26"/>
      <c r="BA120" s="26"/>
      <c r="BB120" s="26"/>
      <c r="BC120" s="26"/>
      <c r="BD120" s="26"/>
      <c r="BE120" s="26"/>
    </row>
    <row r="121" ht="15.75" customHeight="1">
      <c r="B121" s="7" t="s">
        <v>76</v>
      </c>
      <c r="C121" s="9" t="s">
        <v>693</v>
      </c>
      <c r="D121" s="20">
        <v>34634.0</v>
      </c>
      <c r="E121" s="60" t="s">
        <v>694</v>
      </c>
      <c r="F121" s="22" t="s">
        <v>23</v>
      </c>
      <c r="G121" s="60" t="s">
        <v>695</v>
      </c>
      <c r="H121" s="102" t="s">
        <v>74</v>
      </c>
      <c r="I121" s="60" t="s">
        <v>696</v>
      </c>
      <c r="J121" s="60" t="s">
        <v>697</v>
      </c>
      <c r="K121" s="109"/>
      <c r="L121" s="22" t="s">
        <v>41</v>
      </c>
      <c r="M121" s="109"/>
      <c r="N121" s="37">
        <v>46596.0</v>
      </c>
      <c r="O121" s="49">
        <f t="shared" si="14"/>
        <v>353</v>
      </c>
      <c r="P121" s="172">
        <v>46492.0</v>
      </c>
      <c r="Q121" s="172">
        <v>46523.0</v>
      </c>
      <c r="R121" s="172">
        <v>46553.0</v>
      </c>
      <c r="S121" s="109"/>
      <c r="T121" s="175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175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 t="s">
        <v>697</v>
      </c>
      <c r="AV121" s="26" t="s">
        <v>655</v>
      </c>
      <c r="AW121" s="26" t="s">
        <v>698</v>
      </c>
      <c r="AX121" s="26" t="s">
        <v>699</v>
      </c>
      <c r="AY121" s="26" t="s">
        <v>658</v>
      </c>
      <c r="AZ121" s="26"/>
      <c r="BA121" s="26"/>
      <c r="BB121" s="26"/>
      <c r="BC121" s="26"/>
      <c r="BD121" s="26"/>
      <c r="BE121" s="26"/>
    </row>
    <row r="122" ht="15.75" customHeight="1">
      <c r="B122" s="7" t="s">
        <v>76</v>
      </c>
      <c r="C122" s="9" t="s">
        <v>700</v>
      </c>
      <c r="D122" s="176">
        <v>46251.0</v>
      </c>
      <c r="E122" s="177" t="s">
        <v>701</v>
      </c>
      <c r="F122" s="61" t="s">
        <v>50</v>
      </c>
      <c r="G122" s="60" t="s">
        <v>24</v>
      </c>
      <c r="H122" s="102" t="s">
        <v>25</v>
      </c>
      <c r="I122" s="60" t="s">
        <v>702</v>
      </c>
      <c r="J122" s="60" t="s">
        <v>703</v>
      </c>
      <c r="K122" s="70"/>
      <c r="L122" s="22" t="s">
        <v>41</v>
      </c>
      <c r="M122" s="70"/>
      <c r="N122" s="178">
        <v>46603.0</v>
      </c>
      <c r="O122" s="49">
        <f t="shared" si="14"/>
        <v>360</v>
      </c>
      <c r="P122" s="172">
        <v>46493.0</v>
      </c>
      <c r="Q122" s="172">
        <v>46524.0</v>
      </c>
      <c r="R122" s="172">
        <v>46554.0</v>
      </c>
      <c r="S122" s="70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</row>
    <row r="123" ht="15.75" customHeight="1">
      <c r="B123" s="7" t="s">
        <v>76</v>
      </c>
      <c r="C123" s="9" t="s">
        <v>441</v>
      </c>
      <c r="D123" s="176">
        <v>34332.0</v>
      </c>
      <c r="E123" s="177" t="s">
        <v>704</v>
      </c>
      <c r="F123" s="61" t="s">
        <v>50</v>
      </c>
      <c r="G123" s="60" t="s">
        <v>695</v>
      </c>
      <c r="H123" s="102" t="s">
        <v>74</v>
      </c>
      <c r="I123" s="60" t="s">
        <v>705</v>
      </c>
      <c r="J123" s="60" t="s">
        <v>211</v>
      </c>
      <c r="K123" s="70"/>
      <c r="L123" s="22" t="s">
        <v>41</v>
      </c>
      <c r="M123" s="70"/>
      <c r="N123" s="178">
        <v>46604.0</v>
      </c>
      <c r="O123" s="49">
        <f t="shared" si="14"/>
        <v>361</v>
      </c>
      <c r="P123" s="172">
        <v>46494.0</v>
      </c>
      <c r="Q123" s="172">
        <v>46525.0</v>
      </c>
      <c r="R123" s="172">
        <v>46555.0</v>
      </c>
      <c r="S123" s="70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</row>
    <row r="124" ht="15.75" customHeight="1">
      <c r="B124" s="7" t="s">
        <v>76</v>
      </c>
      <c r="C124" s="9" t="s">
        <v>706</v>
      </c>
      <c r="D124" s="176">
        <v>36312.0</v>
      </c>
      <c r="E124" s="177" t="s">
        <v>707</v>
      </c>
      <c r="F124" s="61" t="s">
        <v>23</v>
      </c>
      <c r="G124" s="60" t="s">
        <v>708</v>
      </c>
      <c r="H124" s="102" t="s">
        <v>66</v>
      </c>
      <c r="I124" s="60" t="s">
        <v>709</v>
      </c>
      <c r="J124" s="60" t="s">
        <v>710</v>
      </c>
      <c r="K124" s="70"/>
      <c r="L124" s="22" t="s">
        <v>41</v>
      </c>
      <c r="M124" s="70"/>
      <c r="N124" s="178">
        <v>46605.0</v>
      </c>
      <c r="O124" s="49">
        <f t="shared" si="14"/>
        <v>362</v>
      </c>
      <c r="P124" s="172">
        <v>46495.0</v>
      </c>
      <c r="Q124" s="172">
        <v>46526.0</v>
      </c>
      <c r="R124" s="172">
        <v>46556.0</v>
      </c>
      <c r="S124" s="179"/>
      <c r="T124" s="26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</row>
    <row r="125" ht="15.75" customHeight="1">
      <c r="B125" s="7" t="s">
        <v>76</v>
      </c>
      <c r="C125" s="9" t="s">
        <v>711</v>
      </c>
      <c r="D125" s="176">
        <v>29587.0</v>
      </c>
      <c r="E125" s="177" t="s">
        <v>712</v>
      </c>
      <c r="F125" s="61" t="s">
        <v>50</v>
      </c>
      <c r="G125" s="60" t="s">
        <v>465</v>
      </c>
      <c r="H125" s="102" t="s">
        <v>28</v>
      </c>
      <c r="I125" s="60" t="s">
        <v>713</v>
      </c>
      <c r="J125" s="60" t="s">
        <v>714</v>
      </c>
      <c r="K125" s="70"/>
      <c r="L125" s="22" t="s">
        <v>33</v>
      </c>
      <c r="M125" s="70"/>
      <c r="N125" s="178">
        <v>46606.0</v>
      </c>
      <c r="O125" s="49">
        <f t="shared" si="14"/>
        <v>363</v>
      </c>
      <c r="P125" s="172">
        <v>46496.0</v>
      </c>
      <c r="Q125" s="172">
        <v>46527.0</v>
      </c>
      <c r="R125" s="172">
        <v>46557.0</v>
      </c>
      <c r="S125" s="173"/>
      <c r="T125" s="26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</row>
    <row r="126" ht="15.75" customHeight="1">
      <c r="B126" s="180"/>
      <c r="C126" s="42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49"/>
      <c r="P126" s="181"/>
      <c r="Q126" s="173"/>
      <c r="R126" s="173"/>
      <c r="S126" s="182"/>
      <c r="T126" s="26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</row>
    <row r="127" ht="15.75" customHeight="1">
      <c r="B127" s="180"/>
      <c r="C127" s="42"/>
      <c r="D127" s="70"/>
      <c r="E127" s="183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181"/>
      <c r="Q127" s="173"/>
      <c r="R127" s="173"/>
      <c r="S127" s="182"/>
      <c r="T127" s="26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</row>
    <row r="128" ht="15.75" customHeight="1">
      <c r="B128" s="180"/>
      <c r="C128" s="42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181"/>
      <c r="Q128" s="173"/>
      <c r="R128" s="173"/>
      <c r="S128" s="182"/>
      <c r="T128" s="26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</row>
    <row r="129" ht="15.75" customHeight="1">
      <c r="B129" s="180"/>
      <c r="C129" s="183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181"/>
      <c r="Q129" s="173"/>
      <c r="R129" s="173"/>
      <c r="S129" s="182"/>
      <c r="T129" s="26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</row>
    <row r="130" ht="15.75" customHeight="1">
      <c r="B130" s="180"/>
      <c r="C130" s="183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181"/>
      <c r="Q130" s="173"/>
      <c r="R130" s="173"/>
      <c r="S130" s="182"/>
      <c r="T130" s="26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</row>
    <row r="131" ht="15.75" customHeight="1">
      <c r="B131" s="180"/>
      <c r="C131" s="183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184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</row>
    <row r="132" ht="15.75" customHeight="1">
      <c r="B132" s="180"/>
      <c r="C132" s="183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184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</row>
    <row r="133" ht="15.75" customHeight="1">
      <c r="B133" s="180"/>
      <c r="C133" s="183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184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</row>
    <row r="134" ht="15.75" customHeight="1">
      <c r="B134" s="180"/>
      <c r="C134" s="183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184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</row>
    <row r="135" ht="15.75" customHeight="1">
      <c r="B135" s="180"/>
      <c r="C135" s="183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184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</row>
    <row r="136" ht="15.75" customHeight="1">
      <c r="B136" s="180"/>
      <c r="C136" s="183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184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</row>
    <row r="137" ht="15.75" customHeight="1">
      <c r="B137" s="180"/>
      <c r="C137" s="183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184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</row>
    <row r="138" ht="15.75" customHeight="1">
      <c r="B138" s="180"/>
      <c r="C138" s="183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184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</row>
    <row r="139" ht="15.75" customHeight="1">
      <c r="B139" s="180"/>
      <c r="C139" s="183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184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</row>
    <row r="140" ht="15.75" customHeight="1">
      <c r="B140" s="180"/>
      <c r="C140" s="183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184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</row>
    <row r="141" ht="15.75" customHeight="1">
      <c r="B141" s="180"/>
      <c r="C141" s="183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184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</row>
    <row r="142" ht="15.75" customHeight="1">
      <c r="B142" s="180"/>
      <c r="C142" s="183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184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</row>
    <row r="143" ht="15.75" customHeight="1">
      <c r="B143" s="180"/>
      <c r="C143" s="183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184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</row>
    <row r="144" ht="15.75" customHeight="1">
      <c r="B144" s="180"/>
      <c r="C144" s="183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184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</row>
    <row r="145" ht="15.75" customHeight="1">
      <c r="B145" s="180"/>
      <c r="C145" s="183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184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</row>
    <row r="146" ht="15.75" customHeight="1">
      <c r="B146" s="180"/>
      <c r="C146" s="183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184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</row>
    <row r="147" ht="15.75" customHeight="1">
      <c r="B147" s="180"/>
      <c r="C147" s="183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184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</row>
    <row r="148" ht="15.75" customHeight="1">
      <c r="B148" s="180"/>
      <c r="C148" s="183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184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</row>
    <row r="149" ht="15.75" customHeight="1">
      <c r="B149" s="180"/>
      <c r="C149" s="183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184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</row>
    <row r="150" ht="15.75" customHeight="1">
      <c r="B150" s="180"/>
      <c r="C150" s="183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184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</row>
    <row r="151" ht="15.75" customHeight="1">
      <c r="B151" s="180"/>
      <c r="C151" s="183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184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</row>
    <row r="152" ht="15.75" customHeight="1">
      <c r="B152" s="180"/>
      <c r="C152" s="183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184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</row>
    <row r="153" ht="15.75" customHeight="1">
      <c r="B153" s="180"/>
      <c r="C153" s="183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184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</row>
    <row r="154" ht="15.75" customHeight="1">
      <c r="B154" s="180"/>
      <c r="C154" s="183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184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</row>
    <row r="155" ht="15.75" customHeight="1">
      <c r="B155" s="180"/>
      <c r="C155" s="183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184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</row>
    <row r="156" ht="15.75" customHeight="1">
      <c r="B156" s="180"/>
      <c r="C156" s="183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184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</row>
    <row r="157" ht="15.75" customHeight="1">
      <c r="B157" s="180"/>
      <c r="C157" s="183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184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</row>
    <row r="158" ht="15.75" customHeight="1">
      <c r="B158" s="180"/>
      <c r="C158" s="183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184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</row>
    <row r="159" ht="15.75" customHeight="1">
      <c r="B159" s="180"/>
      <c r="C159" s="183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184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</row>
    <row r="160" ht="15.75" customHeight="1">
      <c r="B160" s="180"/>
      <c r="C160" s="183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184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  <c r="AM160" s="103"/>
      <c r="AN160" s="103"/>
      <c r="AO160" s="103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</row>
    <row r="161" ht="15.75" customHeight="1">
      <c r="B161" s="180"/>
      <c r="C161" s="183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184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</row>
    <row r="162" ht="15.75" customHeight="1">
      <c r="B162" s="180"/>
      <c r="C162" s="183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184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  <c r="AM162" s="103"/>
      <c r="AN162" s="103"/>
      <c r="AO162" s="103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</row>
    <row r="163" ht="15.75" customHeight="1">
      <c r="B163" s="180"/>
      <c r="C163" s="183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184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  <c r="AM163" s="103"/>
      <c r="AN163" s="103"/>
      <c r="AO163" s="103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</row>
    <row r="164" ht="15.75" customHeight="1">
      <c r="B164" s="180"/>
      <c r="C164" s="183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184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</row>
    <row r="165" ht="15.75" customHeight="1">
      <c r="B165" s="180"/>
      <c r="C165" s="183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184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</row>
    <row r="166" ht="15.75" customHeight="1">
      <c r="B166" s="180"/>
      <c r="C166" s="183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184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</row>
    <row r="167" ht="15.75" customHeight="1">
      <c r="B167" s="180"/>
      <c r="C167" s="183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184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</row>
    <row r="168" ht="15.75" customHeight="1">
      <c r="B168" s="180"/>
      <c r="C168" s="183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184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</row>
    <row r="169" ht="15.75" customHeight="1">
      <c r="B169" s="180"/>
      <c r="C169" s="183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184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3"/>
      <c r="AM169" s="103"/>
      <c r="AN169" s="103"/>
      <c r="AO169" s="103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</row>
    <row r="170" ht="15.75" customHeight="1">
      <c r="B170" s="180"/>
      <c r="C170" s="183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184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103"/>
      <c r="AN170" s="103"/>
      <c r="AO170" s="103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</row>
    <row r="171" ht="15.75" customHeight="1">
      <c r="B171" s="180"/>
      <c r="C171" s="183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184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</row>
    <row r="172" ht="15.75" customHeight="1">
      <c r="B172" s="180"/>
      <c r="C172" s="183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184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</row>
    <row r="173" ht="15.75" customHeight="1">
      <c r="B173" s="180"/>
      <c r="C173" s="183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184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3"/>
      <c r="AM173" s="103"/>
      <c r="AN173" s="103"/>
      <c r="AO173" s="103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</row>
    <row r="174" ht="15.75" customHeight="1">
      <c r="B174" s="180"/>
      <c r="C174" s="183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184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3"/>
      <c r="AM174" s="103"/>
      <c r="AN174" s="103"/>
      <c r="AO174" s="103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</row>
    <row r="175" ht="15.75" customHeight="1">
      <c r="B175" s="180"/>
      <c r="C175" s="183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184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  <c r="AM175" s="103"/>
      <c r="AN175" s="103"/>
      <c r="AO175" s="103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</row>
    <row r="176" ht="15.75" customHeight="1">
      <c r="B176" s="180"/>
      <c r="C176" s="183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184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  <c r="AM176" s="103"/>
      <c r="AN176" s="103"/>
      <c r="AO176" s="103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</row>
    <row r="177" ht="15.75" customHeight="1">
      <c r="B177" s="180"/>
      <c r="C177" s="183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184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</row>
    <row r="178" ht="15.75" customHeight="1">
      <c r="B178" s="180"/>
      <c r="C178" s="183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184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</row>
    <row r="179" ht="15.75" customHeight="1">
      <c r="B179" s="180"/>
      <c r="C179" s="183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184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103"/>
      <c r="AN179" s="103"/>
      <c r="AO179" s="103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</row>
    <row r="180" ht="15.75" customHeight="1">
      <c r="B180" s="180"/>
      <c r="C180" s="183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184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3"/>
      <c r="AM180" s="103"/>
      <c r="AN180" s="103"/>
      <c r="AO180" s="103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</row>
    <row r="181" ht="15.75" customHeight="1">
      <c r="B181" s="180"/>
      <c r="C181" s="183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184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</row>
    <row r="182" ht="15.75" customHeight="1">
      <c r="B182" s="180"/>
      <c r="C182" s="183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184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3"/>
      <c r="AM182" s="103"/>
      <c r="AN182" s="103"/>
      <c r="AO182" s="103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</row>
    <row r="183" ht="15.75" customHeight="1">
      <c r="B183" s="180"/>
      <c r="C183" s="183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184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3"/>
      <c r="AM183" s="103"/>
      <c r="AN183" s="103"/>
      <c r="AO183" s="103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</row>
    <row r="184" ht="15.75" customHeight="1">
      <c r="B184" s="180"/>
      <c r="C184" s="183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184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3"/>
      <c r="AM184" s="103"/>
      <c r="AN184" s="103"/>
      <c r="AO184" s="103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</row>
    <row r="185" ht="15.75" customHeight="1">
      <c r="B185" s="180"/>
      <c r="C185" s="183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184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</row>
    <row r="186" ht="15.75" customHeight="1">
      <c r="B186" s="180"/>
      <c r="C186" s="183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184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3"/>
      <c r="AM186" s="103"/>
      <c r="AN186" s="103"/>
      <c r="AO186" s="103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</row>
    <row r="187" ht="15.75" customHeight="1">
      <c r="B187" s="180"/>
      <c r="C187" s="183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184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3"/>
      <c r="AM187" s="103"/>
      <c r="AN187" s="103"/>
      <c r="AO187" s="103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</row>
    <row r="188" ht="15.75" customHeight="1">
      <c r="B188" s="180"/>
      <c r="C188" s="183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184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</row>
    <row r="189" ht="15.75" customHeight="1">
      <c r="B189" s="180"/>
      <c r="C189" s="183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184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  <c r="AM189" s="103"/>
      <c r="AN189" s="103"/>
      <c r="AO189" s="103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</row>
    <row r="190" ht="15.75" customHeight="1">
      <c r="B190" s="180"/>
      <c r="C190" s="183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184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</row>
    <row r="191" ht="15.75" customHeight="1">
      <c r="B191" s="180"/>
      <c r="C191" s="183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184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</row>
    <row r="192" ht="15.75" customHeight="1">
      <c r="B192" s="180"/>
      <c r="C192" s="183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184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3"/>
      <c r="AM192" s="103"/>
      <c r="AN192" s="103"/>
      <c r="AO192" s="103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</row>
    <row r="193" ht="15.75" customHeight="1">
      <c r="B193" s="180"/>
      <c r="C193" s="183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184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3"/>
      <c r="AM193" s="103"/>
      <c r="AN193" s="103"/>
      <c r="AO193" s="103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</row>
    <row r="194" ht="15.75" customHeight="1">
      <c r="B194" s="180"/>
      <c r="C194" s="183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184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</row>
    <row r="195" ht="15.75" customHeight="1">
      <c r="B195" s="180"/>
      <c r="C195" s="183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184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</row>
    <row r="196" ht="15.75" customHeight="1">
      <c r="B196" s="180"/>
      <c r="C196" s="183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184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</row>
    <row r="197" ht="15.75" customHeight="1">
      <c r="B197" s="180"/>
      <c r="C197" s="183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184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</row>
    <row r="198" ht="15.75" customHeight="1">
      <c r="A198" s="174"/>
      <c r="B198" s="180"/>
      <c r="C198" s="183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184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</row>
    <row r="199" ht="15.75" customHeight="1">
      <c r="A199" s="174"/>
      <c r="B199" s="180"/>
      <c r="C199" s="183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184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</row>
    <row r="200" ht="15.75" customHeight="1">
      <c r="A200" s="174"/>
      <c r="B200" s="180"/>
      <c r="C200" s="183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184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</row>
    <row r="201" ht="15.75" customHeight="1">
      <c r="A201" s="174"/>
      <c r="B201" s="180"/>
      <c r="C201" s="183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184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</row>
    <row r="202" ht="15.75" customHeight="1">
      <c r="A202" s="174"/>
      <c r="B202" s="180"/>
      <c r="C202" s="183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184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</row>
    <row r="203" ht="15.75" customHeight="1">
      <c r="A203" s="174"/>
      <c r="B203" s="180"/>
      <c r="C203" s="183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184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</row>
    <row r="204" ht="15.75" customHeight="1">
      <c r="A204" s="174"/>
      <c r="B204" s="180"/>
      <c r="C204" s="183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184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</row>
    <row r="205" ht="15.75" customHeight="1">
      <c r="A205" s="174"/>
      <c r="B205" s="180"/>
      <c r="C205" s="183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184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</row>
    <row r="206" ht="15.75" customHeight="1">
      <c r="A206" s="174"/>
      <c r="B206" s="180"/>
      <c r="C206" s="183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184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</row>
    <row r="207" ht="15.75" customHeight="1">
      <c r="A207" s="174"/>
      <c r="B207" s="180"/>
      <c r="C207" s="183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184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</row>
    <row r="208" ht="15.75" customHeight="1">
      <c r="A208" s="174"/>
      <c r="B208" s="180"/>
      <c r="C208" s="183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184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</row>
    <row r="209" ht="15.75" customHeight="1">
      <c r="A209" s="174"/>
      <c r="B209" s="180"/>
      <c r="C209" s="183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184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</row>
    <row r="210" ht="15.75" customHeight="1">
      <c r="A210" s="174"/>
      <c r="B210" s="180"/>
      <c r="C210" s="183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184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</row>
    <row r="211" ht="15.75" customHeight="1">
      <c r="A211" s="174"/>
      <c r="B211" s="180"/>
      <c r="C211" s="183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184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</row>
    <row r="212" ht="15.75" customHeight="1">
      <c r="A212" s="174"/>
      <c r="B212" s="180"/>
      <c r="C212" s="183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184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</row>
    <row r="213" ht="15.75" customHeight="1">
      <c r="A213" s="174"/>
      <c r="B213" s="180"/>
      <c r="C213" s="183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184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</row>
    <row r="214" ht="15.75" customHeight="1">
      <c r="A214" s="174"/>
      <c r="B214" s="180"/>
      <c r="C214" s="183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184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</row>
    <row r="215" ht="15.75" customHeight="1">
      <c r="A215" s="174"/>
      <c r="B215" s="180"/>
      <c r="C215" s="183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184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</row>
    <row r="216" ht="15.75" customHeight="1">
      <c r="A216" s="174"/>
      <c r="B216" s="180"/>
      <c r="C216" s="183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184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</row>
    <row r="217" ht="15.75" customHeight="1">
      <c r="A217" s="174"/>
      <c r="B217" s="180"/>
      <c r="C217" s="183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184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</row>
    <row r="218" ht="15.75" customHeight="1">
      <c r="A218" s="174"/>
      <c r="B218" s="180"/>
      <c r="C218" s="183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184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</row>
    <row r="219" ht="15.75" customHeight="1">
      <c r="A219" s="174"/>
      <c r="B219" s="180"/>
      <c r="C219" s="183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184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</row>
    <row r="220" ht="15.75" customHeight="1">
      <c r="A220" s="174"/>
      <c r="B220" s="180"/>
      <c r="C220" s="183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184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</row>
    <row r="221" ht="15.75" customHeight="1">
      <c r="A221" s="174"/>
      <c r="B221" s="180"/>
      <c r="C221" s="183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184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</row>
    <row r="222" ht="15.75" customHeight="1">
      <c r="A222" s="174"/>
      <c r="B222" s="180"/>
      <c r="C222" s="183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184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</row>
    <row r="223" ht="15.75" customHeight="1">
      <c r="A223" s="174"/>
      <c r="B223" s="180"/>
      <c r="C223" s="183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184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</row>
    <row r="224" ht="15.75" customHeight="1">
      <c r="A224" s="174"/>
      <c r="B224" s="180"/>
      <c r="C224" s="183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184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</row>
    <row r="225" ht="15.75" customHeight="1">
      <c r="A225" s="174"/>
      <c r="B225" s="180"/>
      <c r="C225" s="183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184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</row>
    <row r="226" ht="15.75" customHeight="1">
      <c r="A226" s="174"/>
      <c r="B226" s="180"/>
      <c r="C226" s="183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184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</row>
    <row r="227" ht="15.75" customHeight="1">
      <c r="A227" s="174"/>
      <c r="B227" s="180"/>
      <c r="C227" s="183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184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</row>
    <row r="228" ht="15.75" customHeight="1">
      <c r="A228" s="174"/>
      <c r="B228" s="180"/>
      <c r="C228" s="183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184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</row>
    <row r="229" ht="15.75" customHeight="1">
      <c r="A229" s="174"/>
      <c r="B229" s="180"/>
      <c r="C229" s="183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184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</row>
    <row r="230" ht="15.75" customHeight="1">
      <c r="A230" s="174"/>
      <c r="B230" s="180"/>
      <c r="C230" s="183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184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</row>
    <row r="231" ht="15.75" customHeight="1">
      <c r="A231" s="174"/>
      <c r="B231" s="180"/>
      <c r="C231" s="183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184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</row>
    <row r="232" ht="15.75" customHeight="1">
      <c r="A232" s="174"/>
      <c r="B232" s="180"/>
      <c r="C232" s="183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184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</row>
    <row r="233" ht="15.75" customHeight="1">
      <c r="A233" s="174"/>
      <c r="B233" s="180"/>
      <c r="C233" s="183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184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</row>
    <row r="234" ht="15.75" customHeight="1">
      <c r="A234" s="174"/>
      <c r="B234" s="180"/>
      <c r="C234" s="183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184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</row>
    <row r="235" ht="15.75" customHeight="1">
      <c r="A235" s="174"/>
      <c r="B235" s="180"/>
      <c r="C235" s="183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184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</row>
    <row r="236" ht="15.75" customHeight="1">
      <c r="A236" s="174"/>
      <c r="B236" s="180"/>
      <c r="C236" s="183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184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</row>
    <row r="237" ht="15.75" customHeight="1">
      <c r="A237" s="174"/>
      <c r="B237" s="180"/>
      <c r="C237" s="183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184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</row>
    <row r="238" ht="15.75" customHeight="1">
      <c r="A238" s="174"/>
      <c r="B238" s="180"/>
      <c r="C238" s="183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184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</row>
    <row r="239" ht="15.75" customHeight="1">
      <c r="A239" s="174"/>
      <c r="B239" s="180"/>
      <c r="C239" s="183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184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</row>
    <row r="240" ht="15.75" customHeight="1">
      <c r="A240" s="174"/>
      <c r="B240" s="180"/>
      <c r="C240" s="183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184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</row>
    <row r="241" ht="15.75" customHeight="1">
      <c r="A241" s="174"/>
      <c r="B241" s="180"/>
      <c r="C241" s="183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184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</row>
    <row r="242" ht="15.75" customHeight="1">
      <c r="A242" s="174"/>
      <c r="B242" s="180"/>
      <c r="C242" s="183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184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</row>
    <row r="243" ht="15.75" customHeight="1">
      <c r="A243" s="174"/>
      <c r="B243" s="180"/>
      <c r="C243" s="183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184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</row>
    <row r="244" ht="15.75" customHeight="1">
      <c r="A244" s="174"/>
      <c r="B244" s="180"/>
      <c r="C244" s="183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184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  <c r="AR244" s="103"/>
      <c r="AS244" s="103"/>
      <c r="AT244" s="103"/>
      <c r="AU244" s="103"/>
      <c r="AV244" s="103"/>
      <c r="AW244" s="103"/>
      <c r="AX244" s="103"/>
      <c r="AY244" s="103"/>
      <c r="AZ244" s="103"/>
      <c r="BA244" s="103"/>
      <c r="BB244" s="103"/>
      <c r="BC244" s="103"/>
      <c r="BD244" s="103"/>
      <c r="BE244" s="103"/>
    </row>
    <row r="245" ht="15.75" customHeight="1">
      <c r="A245" s="174"/>
      <c r="B245" s="180"/>
      <c r="C245" s="183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184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3"/>
      <c r="BC245" s="103"/>
      <c r="BD245" s="103"/>
      <c r="BE245" s="103"/>
    </row>
    <row r="246" ht="15.75" customHeight="1">
      <c r="A246" s="174"/>
      <c r="B246" s="180"/>
      <c r="C246" s="183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184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  <c r="AS246" s="103"/>
      <c r="AT246" s="103"/>
      <c r="AU246" s="103"/>
      <c r="AV246" s="103"/>
      <c r="AW246" s="103"/>
      <c r="AX246" s="103"/>
      <c r="AY246" s="103"/>
      <c r="AZ246" s="103"/>
      <c r="BA246" s="103"/>
      <c r="BB246" s="103"/>
      <c r="BC246" s="103"/>
      <c r="BD246" s="103"/>
      <c r="BE246" s="103"/>
    </row>
    <row r="247" ht="15.75" customHeight="1">
      <c r="A247" s="174"/>
      <c r="B247" s="180"/>
      <c r="C247" s="183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184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  <c r="AR247" s="103"/>
      <c r="AS247" s="103"/>
      <c r="AT247" s="103"/>
      <c r="AU247" s="103"/>
      <c r="AV247" s="103"/>
      <c r="AW247" s="103"/>
      <c r="AX247" s="103"/>
      <c r="AY247" s="103"/>
      <c r="AZ247" s="103"/>
      <c r="BA247" s="103"/>
      <c r="BB247" s="103"/>
      <c r="BC247" s="103"/>
      <c r="BD247" s="103"/>
      <c r="BE247" s="103"/>
    </row>
    <row r="248" ht="15.75" customHeight="1">
      <c r="A248" s="174"/>
      <c r="B248" s="180"/>
      <c r="C248" s="183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184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  <c r="AS248" s="103"/>
      <c r="AT248" s="103"/>
      <c r="AU248" s="103"/>
      <c r="AV248" s="103"/>
      <c r="AW248" s="103"/>
      <c r="AX248" s="103"/>
      <c r="AY248" s="103"/>
      <c r="AZ248" s="103"/>
      <c r="BA248" s="103"/>
      <c r="BB248" s="103"/>
      <c r="BC248" s="103"/>
      <c r="BD248" s="103"/>
      <c r="BE248" s="103"/>
    </row>
    <row r="249" ht="15.75" customHeight="1">
      <c r="A249" s="174"/>
      <c r="B249" s="180"/>
      <c r="C249" s="183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184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  <c r="AR249" s="103"/>
      <c r="AS249" s="103"/>
      <c r="AT249" s="103"/>
      <c r="AU249" s="103"/>
      <c r="AV249" s="103"/>
      <c r="AW249" s="103"/>
      <c r="AX249" s="103"/>
      <c r="AY249" s="103"/>
      <c r="AZ249" s="103"/>
      <c r="BA249" s="103"/>
      <c r="BB249" s="103"/>
      <c r="BC249" s="103"/>
      <c r="BD249" s="103"/>
      <c r="BE249" s="103"/>
    </row>
    <row r="250" ht="15.75" customHeight="1">
      <c r="A250" s="174"/>
      <c r="B250" s="180"/>
      <c r="C250" s="183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184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</row>
    <row r="251" ht="15.75" customHeight="1">
      <c r="A251" s="174"/>
      <c r="B251" s="180"/>
      <c r="C251" s="183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184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</row>
    <row r="252" ht="15.75" customHeight="1">
      <c r="A252" s="174"/>
      <c r="B252" s="180"/>
      <c r="C252" s="183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184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3"/>
      <c r="BA252" s="103"/>
      <c r="BB252" s="103"/>
      <c r="BC252" s="103"/>
      <c r="BD252" s="103"/>
      <c r="BE252" s="103"/>
    </row>
    <row r="253" ht="15.75" customHeight="1">
      <c r="A253" s="174"/>
      <c r="B253" s="180"/>
      <c r="C253" s="183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184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  <c r="AR253" s="103"/>
      <c r="AS253" s="103"/>
      <c r="AT253" s="103"/>
      <c r="AU253" s="103"/>
      <c r="AV253" s="103"/>
      <c r="AW253" s="103"/>
      <c r="AX253" s="103"/>
      <c r="AY253" s="103"/>
      <c r="AZ253" s="103"/>
      <c r="BA253" s="103"/>
      <c r="BB253" s="103"/>
      <c r="BC253" s="103"/>
      <c r="BD253" s="103"/>
      <c r="BE253" s="103"/>
    </row>
    <row r="254" ht="15.75" customHeight="1">
      <c r="A254" s="174"/>
      <c r="B254" s="180"/>
      <c r="C254" s="183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184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  <c r="AS254" s="103"/>
      <c r="AT254" s="103"/>
      <c r="AU254" s="103"/>
      <c r="AV254" s="103"/>
      <c r="AW254" s="103"/>
      <c r="AX254" s="103"/>
      <c r="AY254" s="103"/>
      <c r="AZ254" s="103"/>
      <c r="BA254" s="103"/>
      <c r="BB254" s="103"/>
      <c r="BC254" s="103"/>
      <c r="BD254" s="103"/>
      <c r="BE254" s="103"/>
    </row>
    <row r="255" ht="15.75" customHeight="1">
      <c r="A255" s="174"/>
      <c r="B255" s="180"/>
      <c r="C255" s="183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184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  <c r="AR255" s="103"/>
      <c r="AS255" s="103"/>
      <c r="AT255" s="103"/>
      <c r="AU255" s="103"/>
      <c r="AV255" s="103"/>
      <c r="AW255" s="103"/>
      <c r="AX255" s="103"/>
      <c r="AY255" s="103"/>
      <c r="AZ255" s="103"/>
      <c r="BA255" s="103"/>
      <c r="BB255" s="103"/>
      <c r="BC255" s="103"/>
      <c r="BD255" s="103"/>
      <c r="BE255" s="103"/>
    </row>
    <row r="256" ht="15.75" customHeight="1">
      <c r="A256" s="174"/>
      <c r="B256" s="180"/>
      <c r="C256" s="183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184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3"/>
      <c r="AV256" s="103"/>
      <c r="AW256" s="103"/>
      <c r="AX256" s="103"/>
      <c r="AY256" s="103"/>
      <c r="AZ256" s="103"/>
      <c r="BA256" s="103"/>
      <c r="BB256" s="103"/>
      <c r="BC256" s="103"/>
      <c r="BD256" s="103"/>
      <c r="BE256" s="103"/>
    </row>
    <row r="257" ht="15.75" customHeight="1">
      <c r="A257" s="174"/>
      <c r="B257" s="180"/>
      <c r="C257" s="183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184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</row>
    <row r="258" ht="15.75" customHeight="1">
      <c r="A258" s="174"/>
      <c r="B258" s="180"/>
      <c r="C258" s="183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184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  <c r="AS258" s="103"/>
      <c r="AT258" s="103"/>
      <c r="AU258" s="103"/>
      <c r="AV258" s="103"/>
      <c r="AW258" s="103"/>
      <c r="AX258" s="103"/>
      <c r="AY258" s="103"/>
      <c r="AZ258" s="103"/>
      <c r="BA258" s="103"/>
      <c r="BB258" s="103"/>
      <c r="BC258" s="103"/>
      <c r="BD258" s="103"/>
      <c r="BE258" s="103"/>
    </row>
    <row r="259" ht="15.75" customHeight="1">
      <c r="A259" s="174"/>
      <c r="B259" s="180"/>
      <c r="C259" s="183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184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  <c r="AR259" s="103"/>
      <c r="AS259" s="103"/>
      <c r="AT259" s="103"/>
      <c r="AU259" s="103"/>
      <c r="AV259" s="103"/>
      <c r="AW259" s="103"/>
      <c r="AX259" s="103"/>
      <c r="AY259" s="103"/>
      <c r="AZ259" s="103"/>
      <c r="BA259" s="103"/>
      <c r="BB259" s="103"/>
      <c r="BC259" s="103"/>
      <c r="BD259" s="103"/>
      <c r="BE259" s="103"/>
    </row>
    <row r="260" ht="15.75" customHeight="1">
      <c r="A260" s="174"/>
      <c r="B260" s="180"/>
      <c r="C260" s="183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184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  <c r="AS260" s="103"/>
      <c r="AT260" s="103"/>
      <c r="AU260" s="103"/>
      <c r="AV260" s="103"/>
      <c r="AW260" s="103"/>
      <c r="AX260" s="103"/>
      <c r="AY260" s="103"/>
      <c r="AZ260" s="103"/>
      <c r="BA260" s="103"/>
      <c r="BB260" s="103"/>
      <c r="BC260" s="103"/>
      <c r="BD260" s="103"/>
      <c r="BE260" s="103"/>
    </row>
    <row r="261" ht="15.75" customHeight="1">
      <c r="A261" s="174"/>
      <c r="B261" s="180"/>
      <c r="C261" s="183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184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  <c r="AS261" s="103"/>
      <c r="AT261" s="103"/>
      <c r="AU261" s="103"/>
      <c r="AV261" s="103"/>
      <c r="AW261" s="103"/>
      <c r="AX261" s="103"/>
      <c r="AY261" s="103"/>
      <c r="AZ261" s="103"/>
      <c r="BA261" s="103"/>
      <c r="BB261" s="103"/>
      <c r="BC261" s="103"/>
      <c r="BD261" s="103"/>
      <c r="BE261" s="103"/>
    </row>
    <row r="262" ht="15.75" customHeight="1">
      <c r="A262" s="174"/>
      <c r="B262" s="180"/>
      <c r="C262" s="183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184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  <c r="AR262" s="103"/>
      <c r="AS262" s="103"/>
      <c r="AT262" s="103"/>
      <c r="AU262" s="103"/>
      <c r="AV262" s="103"/>
      <c r="AW262" s="103"/>
      <c r="AX262" s="103"/>
      <c r="AY262" s="103"/>
      <c r="AZ262" s="103"/>
      <c r="BA262" s="103"/>
      <c r="BB262" s="103"/>
      <c r="BC262" s="103"/>
      <c r="BD262" s="103"/>
      <c r="BE262" s="103"/>
    </row>
    <row r="263" ht="15.75" customHeight="1">
      <c r="A263" s="174"/>
      <c r="B263" s="180"/>
      <c r="C263" s="183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184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  <c r="AS263" s="103"/>
      <c r="AT263" s="103"/>
      <c r="AU263" s="103"/>
      <c r="AV263" s="103"/>
      <c r="AW263" s="103"/>
      <c r="AX263" s="103"/>
      <c r="AY263" s="103"/>
      <c r="AZ263" s="103"/>
      <c r="BA263" s="103"/>
      <c r="BB263" s="103"/>
      <c r="BC263" s="103"/>
      <c r="BD263" s="103"/>
      <c r="BE263" s="103"/>
    </row>
    <row r="264" ht="15.75" customHeight="1">
      <c r="A264" s="174"/>
      <c r="B264" s="180"/>
      <c r="C264" s="183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184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  <c r="AR264" s="103"/>
      <c r="AS264" s="103"/>
      <c r="AT264" s="103"/>
      <c r="AU264" s="103"/>
      <c r="AV264" s="103"/>
      <c r="AW264" s="103"/>
      <c r="AX264" s="103"/>
      <c r="AY264" s="103"/>
      <c r="AZ264" s="103"/>
      <c r="BA264" s="103"/>
      <c r="BB264" s="103"/>
      <c r="BC264" s="103"/>
      <c r="BD264" s="103"/>
      <c r="BE264" s="103"/>
    </row>
    <row r="265" ht="15.75" customHeight="1">
      <c r="A265" s="174"/>
      <c r="B265" s="180"/>
      <c r="C265" s="183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184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  <c r="AR265" s="103"/>
      <c r="AS265" s="103"/>
      <c r="AT265" s="103"/>
      <c r="AU265" s="103"/>
      <c r="AV265" s="103"/>
      <c r="AW265" s="103"/>
      <c r="AX265" s="103"/>
      <c r="AY265" s="103"/>
      <c r="AZ265" s="103"/>
      <c r="BA265" s="103"/>
      <c r="BB265" s="103"/>
      <c r="BC265" s="103"/>
      <c r="BD265" s="103"/>
      <c r="BE265" s="103"/>
    </row>
    <row r="266" ht="15.75" customHeight="1">
      <c r="A266" s="174"/>
      <c r="B266" s="180"/>
      <c r="C266" s="183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184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3"/>
      <c r="AT266" s="103"/>
      <c r="AU266" s="103"/>
      <c r="AV266" s="103"/>
      <c r="AW266" s="103"/>
      <c r="AX266" s="103"/>
      <c r="AY266" s="103"/>
      <c r="AZ266" s="103"/>
      <c r="BA266" s="103"/>
      <c r="BB266" s="103"/>
      <c r="BC266" s="103"/>
      <c r="BD266" s="103"/>
      <c r="BE266" s="103"/>
    </row>
    <row r="267" ht="15.75" customHeight="1">
      <c r="A267" s="174"/>
      <c r="B267" s="180"/>
      <c r="C267" s="183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184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3"/>
      <c r="BD267" s="103"/>
      <c r="BE267" s="103"/>
    </row>
    <row r="268" ht="15.75" customHeight="1">
      <c r="A268" s="174"/>
      <c r="B268" s="180"/>
      <c r="C268" s="183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184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3"/>
      <c r="BE268" s="103"/>
    </row>
    <row r="269" ht="15.75" customHeight="1">
      <c r="A269" s="174"/>
      <c r="B269" s="180"/>
      <c r="C269" s="183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184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  <c r="AR269" s="103"/>
      <c r="AS269" s="103"/>
      <c r="AT269" s="103"/>
      <c r="AU269" s="103"/>
      <c r="AV269" s="103"/>
      <c r="AW269" s="103"/>
      <c r="AX269" s="103"/>
      <c r="AY269" s="103"/>
      <c r="AZ269" s="103"/>
      <c r="BA269" s="103"/>
      <c r="BB269" s="103"/>
      <c r="BC269" s="103"/>
      <c r="BD269" s="103"/>
      <c r="BE269" s="103"/>
    </row>
    <row r="270" ht="15.75" customHeight="1">
      <c r="A270" s="174"/>
      <c r="B270" s="180"/>
      <c r="C270" s="183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184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  <c r="AS270" s="103"/>
      <c r="AT270" s="103"/>
      <c r="AU270" s="103"/>
      <c r="AV270" s="103"/>
      <c r="AW270" s="103"/>
      <c r="AX270" s="103"/>
      <c r="AY270" s="103"/>
      <c r="AZ270" s="103"/>
      <c r="BA270" s="103"/>
      <c r="BB270" s="103"/>
      <c r="BC270" s="103"/>
      <c r="BD270" s="103"/>
      <c r="BE270" s="103"/>
    </row>
    <row r="271" ht="15.75" customHeight="1">
      <c r="A271" s="174"/>
      <c r="B271" s="180"/>
      <c r="C271" s="183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184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  <c r="AR271" s="103"/>
      <c r="AS271" s="103"/>
      <c r="AT271" s="103"/>
      <c r="AU271" s="103"/>
      <c r="AV271" s="103"/>
      <c r="AW271" s="103"/>
      <c r="AX271" s="103"/>
      <c r="AY271" s="103"/>
      <c r="AZ271" s="103"/>
      <c r="BA271" s="103"/>
      <c r="BB271" s="103"/>
      <c r="BC271" s="103"/>
      <c r="BD271" s="103"/>
      <c r="BE271" s="103"/>
    </row>
    <row r="272" ht="15.75" customHeight="1">
      <c r="A272" s="174"/>
      <c r="B272" s="180"/>
      <c r="C272" s="183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184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  <c r="BB272" s="103"/>
      <c r="BC272" s="103"/>
      <c r="BD272" s="103"/>
      <c r="BE272" s="103"/>
    </row>
    <row r="273" ht="15.75" customHeight="1">
      <c r="A273" s="174"/>
      <c r="B273" s="180"/>
      <c r="C273" s="183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184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  <c r="AR273" s="103"/>
      <c r="AS273" s="103"/>
      <c r="AT273" s="103"/>
      <c r="AU273" s="103"/>
      <c r="AV273" s="103"/>
      <c r="AW273" s="103"/>
      <c r="AX273" s="103"/>
      <c r="AY273" s="103"/>
      <c r="AZ273" s="103"/>
      <c r="BA273" s="103"/>
      <c r="BB273" s="103"/>
      <c r="BC273" s="103"/>
      <c r="BD273" s="103"/>
      <c r="BE273" s="103"/>
    </row>
    <row r="274" ht="15.75" customHeight="1">
      <c r="A274" s="174"/>
      <c r="B274" s="180"/>
      <c r="C274" s="183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184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  <c r="BB274" s="103"/>
      <c r="BC274" s="103"/>
      <c r="BD274" s="103"/>
      <c r="BE274" s="103"/>
    </row>
    <row r="275" ht="15.75" customHeight="1">
      <c r="A275" s="174"/>
      <c r="B275" s="180"/>
      <c r="C275" s="183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184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  <c r="BB275" s="103"/>
      <c r="BC275" s="103"/>
      <c r="BD275" s="103"/>
      <c r="BE275" s="103"/>
    </row>
    <row r="276" ht="15.75" customHeight="1">
      <c r="A276" s="174"/>
      <c r="B276" s="180"/>
      <c r="C276" s="183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184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</row>
    <row r="277" ht="15.75" customHeight="1">
      <c r="A277" s="174"/>
      <c r="B277" s="180"/>
      <c r="C277" s="183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184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</row>
    <row r="278" ht="15.75" customHeight="1">
      <c r="A278" s="174"/>
      <c r="B278" s="180"/>
      <c r="C278" s="183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184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  <c r="AR278" s="103"/>
      <c r="AS278" s="103"/>
      <c r="AT278" s="103"/>
      <c r="AU278" s="103"/>
      <c r="AV278" s="103"/>
      <c r="AW278" s="103"/>
      <c r="AX278" s="103"/>
      <c r="AY278" s="103"/>
      <c r="AZ278" s="103"/>
      <c r="BA278" s="103"/>
      <c r="BB278" s="103"/>
      <c r="BC278" s="103"/>
      <c r="BD278" s="103"/>
      <c r="BE278" s="103"/>
    </row>
    <row r="279" ht="15.75" customHeight="1">
      <c r="A279" s="174"/>
      <c r="B279" s="180"/>
      <c r="C279" s="183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184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  <c r="AS279" s="103"/>
      <c r="AT279" s="103"/>
      <c r="AU279" s="103"/>
      <c r="AV279" s="103"/>
      <c r="AW279" s="103"/>
      <c r="AX279" s="103"/>
      <c r="AY279" s="103"/>
      <c r="AZ279" s="103"/>
      <c r="BA279" s="103"/>
      <c r="BB279" s="103"/>
      <c r="BC279" s="103"/>
      <c r="BD279" s="103"/>
      <c r="BE279" s="103"/>
    </row>
    <row r="280" ht="15.75" customHeight="1">
      <c r="A280" s="174"/>
      <c r="B280" s="180"/>
      <c r="C280" s="183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184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  <c r="AR280" s="103"/>
      <c r="AS280" s="103"/>
      <c r="AT280" s="103"/>
      <c r="AU280" s="103"/>
      <c r="AV280" s="103"/>
      <c r="AW280" s="103"/>
      <c r="AX280" s="103"/>
      <c r="AY280" s="103"/>
      <c r="AZ280" s="103"/>
      <c r="BA280" s="103"/>
      <c r="BB280" s="103"/>
      <c r="BC280" s="103"/>
      <c r="BD280" s="103"/>
      <c r="BE280" s="103"/>
    </row>
    <row r="281" ht="15.75" customHeight="1">
      <c r="A281" s="174"/>
      <c r="B281" s="180"/>
      <c r="C281" s="183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184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3"/>
      <c r="AU281" s="103"/>
      <c r="AV281" s="103"/>
      <c r="AW281" s="103"/>
      <c r="AX281" s="103"/>
      <c r="AY281" s="103"/>
      <c r="AZ281" s="103"/>
      <c r="BA281" s="103"/>
      <c r="BB281" s="103"/>
      <c r="BC281" s="103"/>
      <c r="BD281" s="103"/>
      <c r="BE281" s="103"/>
    </row>
    <row r="282" ht="15.75" customHeight="1">
      <c r="A282" s="174"/>
      <c r="B282" s="180"/>
      <c r="C282" s="183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184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  <c r="AR282" s="103"/>
      <c r="AS282" s="103"/>
      <c r="AT282" s="103"/>
      <c r="AU282" s="103"/>
      <c r="AV282" s="103"/>
      <c r="AW282" s="103"/>
      <c r="AX282" s="103"/>
      <c r="AY282" s="103"/>
      <c r="AZ282" s="103"/>
      <c r="BA282" s="103"/>
      <c r="BB282" s="103"/>
      <c r="BC282" s="103"/>
      <c r="BD282" s="103"/>
      <c r="BE282" s="103"/>
    </row>
    <row r="283" ht="15.75" customHeight="1">
      <c r="A283" s="174"/>
      <c r="B283" s="180"/>
      <c r="C283" s="183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184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  <c r="AS283" s="103"/>
      <c r="AT283" s="103"/>
      <c r="AU283" s="103"/>
      <c r="AV283" s="103"/>
      <c r="AW283" s="103"/>
      <c r="AX283" s="103"/>
      <c r="AY283" s="103"/>
      <c r="AZ283" s="103"/>
      <c r="BA283" s="103"/>
      <c r="BB283" s="103"/>
      <c r="BC283" s="103"/>
      <c r="BD283" s="103"/>
      <c r="BE283" s="103"/>
    </row>
    <row r="284" ht="15.75" customHeight="1">
      <c r="A284" s="174"/>
      <c r="B284" s="180"/>
      <c r="C284" s="183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184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  <c r="BB284" s="103"/>
      <c r="BC284" s="103"/>
      <c r="BD284" s="103"/>
      <c r="BE284" s="103"/>
    </row>
    <row r="285" ht="15.75" customHeight="1">
      <c r="A285" s="174"/>
      <c r="B285" s="180"/>
      <c r="C285" s="183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184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</row>
    <row r="286" ht="15.75" customHeight="1">
      <c r="A286" s="174"/>
      <c r="B286" s="180"/>
      <c r="C286" s="183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184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  <c r="AR286" s="103"/>
      <c r="AS286" s="103"/>
      <c r="AT286" s="103"/>
      <c r="AU286" s="103"/>
      <c r="AV286" s="103"/>
      <c r="AW286" s="103"/>
      <c r="AX286" s="103"/>
      <c r="AY286" s="103"/>
      <c r="AZ286" s="103"/>
      <c r="BA286" s="103"/>
      <c r="BB286" s="103"/>
      <c r="BC286" s="103"/>
      <c r="BD286" s="103"/>
      <c r="BE286" s="103"/>
    </row>
    <row r="287" ht="15.75" customHeight="1">
      <c r="A287" s="174"/>
      <c r="B287" s="180"/>
      <c r="C287" s="183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184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/>
      <c r="AT287" s="103"/>
      <c r="AU287" s="103"/>
      <c r="AV287" s="103"/>
      <c r="AW287" s="103"/>
      <c r="AX287" s="103"/>
      <c r="AY287" s="103"/>
      <c r="AZ287" s="103"/>
      <c r="BA287" s="103"/>
      <c r="BB287" s="103"/>
      <c r="BC287" s="103"/>
      <c r="BD287" s="103"/>
      <c r="BE287" s="103"/>
    </row>
    <row r="288" ht="15.75" customHeight="1">
      <c r="A288" s="174"/>
      <c r="B288" s="180"/>
      <c r="C288" s="183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184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  <c r="AR288" s="103"/>
      <c r="AS288" s="103"/>
      <c r="AT288" s="103"/>
      <c r="AU288" s="103"/>
      <c r="AV288" s="103"/>
      <c r="AW288" s="103"/>
      <c r="AX288" s="103"/>
      <c r="AY288" s="103"/>
      <c r="AZ288" s="103"/>
      <c r="BA288" s="103"/>
      <c r="BB288" s="103"/>
      <c r="BC288" s="103"/>
      <c r="BD288" s="103"/>
      <c r="BE288" s="103"/>
    </row>
    <row r="289" ht="15.75" customHeight="1">
      <c r="A289" s="174"/>
      <c r="B289" s="180"/>
      <c r="C289" s="183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184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/>
      <c r="AX289" s="103"/>
      <c r="AY289" s="103"/>
      <c r="AZ289" s="103"/>
      <c r="BA289" s="103"/>
      <c r="BB289" s="103"/>
      <c r="BC289" s="103"/>
      <c r="BD289" s="103"/>
      <c r="BE289" s="103"/>
    </row>
    <row r="290" ht="15.75" customHeight="1">
      <c r="A290" s="174"/>
      <c r="B290" s="180"/>
      <c r="C290" s="183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184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  <c r="AR290" s="103"/>
      <c r="AS290" s="103"/>
      <c r="AT290" s="103"/>
      <c r="AU290" s="103"/>
      <c r="AV290" s="103"/>
      <c r="AW290" s="103"/>
      <c r="AX290" s="103"/>
      <c r="AY290" s="103"/>
      <c r="AZ290" s="103"/>
      <c r="BA290" s="103"/>
      <c r="BB290" s="103"/>
      <c r="BC290" s="103"/>
      <c r="BD290" s="103"/>
      <c r="BE290" s="103"/>
    </row>
    <row r="291" ht="15.75" customHeight="1">
      <c r="A291" s="174"/>
      <c r="B291" s="180"/>
      <c r="C291" s="183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184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/>
      <c r="BE291" s="103"/>
    </row>
    <row r="292" ht="15.75" customHeight="1">
      <c r="A292" s="174"/>
      <c r="B292" s="180"/>
      <c r="C292" s="183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184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3"/>
      <c r="AT292" s="103"/>
      <c r="AU292" s="103"/>
      <c r="AV292" s="103"/>
      <c r="AW292" s="103"/>
      <c r="AX292" s="103"/>
      <c r="AY292" s="103"/>
      <c r="AZ292" s="103"/>
      <c r="BA292" s="103"/>
      <c r="BB292" s="103"/>
      <c r="BC292" s="103"/>
      <c r="BD292" s="103"/>
      <c r="BE292" s="103"/>
    </row>
    <row r="293" ht="15.75" customHeight="1">
      <c r="A293" s="174"/>
      <c r="B293" s="180"/>
      <c r="C293" s="183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184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  <c r="AS293" s="103"/>
      <c r="AT293" s="103"/>
      <c r="AU293" s="103"/>
      <c r="AV293" s="103"/>
      <c r="AW293" s="103"/>
      <c r="AX293" s="103"/>
      <c r="AY293" s="103"/>
      <c r="AZ293" s="103"/>
      <c r="BA293" s="103"/>
      <c r="BB293" s="103"/>
      <c r="BC293" s="103"/>
      <c r="BD293" s="103"/>
      <c r="BE293" s="103"/>
    </row>
    <row r="294" ht="15.75" customHeight="1">
      <c r="A294" s="174"/>
      <c r="B294" s="180"/>
      <c r="C294" s="183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184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  <c r="AR294" s="103"/>
      <c r="AS294" s="103"/>
      <c r="AT294" s="103"/>
      <c r="AU294" s="103"/>
      <c r="AV294" s="103"/>
      <c r="AW294" s="103"/>
      <c r="AX294" s="103"/>
      <c r="AY294" s="103"/>
      <c r="AZ294" s="103"/>
      <c r="BA294" s="103"/>
      <c r="BB294" s="103"/>
      <c r="BC294" s="103"/>
      <c r="BD294" s="103"/>
      <c r="BE294" s="103"/>
    </row>
    <row r="295" ht="15.75" customHeight="1">
      <c r="A295" s="174"/>
      <c r="B295" s="180"/>
      <c r="C295" s="183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184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  <c r="AS295" s="103"/>
      <c r="AT295" s="103"/>
      <c r="AU295" s="103"/>
      <c r="AV295" s="103"/>
      <c r="AW295" s="103"/>
      <c r="AX295" s="103"/>
      <c r="AY295" s="103"/>
      <c r="AZ295" s="103"/>
      <c r="BA295" s="103"/>
      <c r="BB295" s="103"/>
      <c r="BC295" s="103"/>
      <c r="BD295" s="103"/>
      <c r="BE295" s="103"/>
    </row>
    <row r="296" ht="15.75" customHeight="1">
      <c r="A296" s="174"/>
      <c r="B296" s="180"/>
      <c r="C296" s="183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184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  <c r="AR296" s="103"/>
      <c r="AS296" s="103"/>
      <c r="AT296" s="103"/>
      <c r="AU296" s="103"/>
      <c r="AV296" s="103"/>
      <c r="AW296" s="103"/>
      <c r="AX296" s="103"/>
      <c r="AY296" s="103"/>
      <c r="AZ296" s="103"/>
      <c r="BA296" s="103"/>
      <c r="BB296" s="103"/>
      <c r="BC296" s="103"/>
      <c r="BD296" s="103"/>
      <c r="BE296" s="103"/>
    </row>
    <row r="297" ht="15.75" customHeight="1">
      <c r="A297" s="174"/>
      <c r="B297" s="180"/>
      <c r="C297" s="183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184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  <c r="AS297" s="103"/>
      <c r="AT297" s="103"/>
      <c r="AU297" s="103"/>
      <c r="AV297" s="103"/>
      <c r="AW297" s="103"/>
      <c r="AX297" s="103"/>
      <c r="AY297" s="103"/>
      <c r="AZ297" s="103"/>
      <c r="BA297" s="103"/>
      <c r="BB297" s="103"/>
      <c r="BC297" s="103"/>
      <c r="BD297" s="103"/>
      <c r="BE297" s="103"/>
    </row>
    <row r="298" ht="15.75" customHeight="1">
      <c r="A298" s="174"/>
      <c r="B298" s="180"/>
      <c r="C298" s="183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184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  <c r="AR298" s="103"/>
      <c r="AS298" s="103"/>
      <c r="AT298" s="103"/>
      <c r="AU298" s="103"/>
      <c r="AV298" s="103"/>
      <c r="AW298" s="103"/>
      <c r="AX298" s="103"/>
      <c r="AY298" s="103"/>
      <c r="AZ298" s="103"/>
      <c r="BA298" s="103"/>
      <c r="BB298" s="103"/>
      <c r="BC298" s="103"/>
      <c r="BD298" s="103"/>
      <c r="BE298" s="103"/>
    </row>
    <row r="299" ht="15.75" customHeight="1">
      <c r="A299" s="174"/>
      <c r="B299" s="180"/>
      <c r="C299" s="183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184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  <c r="AS299" s="103"/>
      <c r="AT299" s="103"/>
      <c r="AU299" s="103"/>
      <c r="AV299" s="103"/>
      <c r="AW299" s="103"/>
      <c r="AX299" s="103"/>
      <c r="AY299" s="103"/>
      <c r="AZ299" s="103"/>
      <c r="BA299" s="103"/>
      <c r="BB299" s="103"/>
      <c r="BC299" s="103"/>
      <c r="BD299" s="103"/>
      <c r="BE299" s="103"/>
    </row>
    <row r="300" ht="15.75" customHeight="1">
      <c r="A300" s="174"/>
      <c r="B300" s="180"/>
      <c r="C300" s="183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184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  <c r="AV300" s="103"/>
      <c r="AW300" s="103"/>
      <c r="AX300" s="103"/>
      <c r="AY300" s="103"/>
      <c r="AZ300" s="103"/>
      <c r="BA300" s="103"/>
      <c r="BB300" s="103"/>
      <c r="BC300" s="103"/>
      <c r="BD300" s="103"/>
      <c r="BE300" s="103"/>
    </row>
    <row r="301" ht="15.75" customHeight="1">
      <c r="A301" s="174"/>
      <c r="B301" s="180"/>
      <c r="C301" s="183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184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  <c r="AV301" s="103"/>
      <c r="AW301" s="103"/>
      <c r="AX301" s="103"/>
      <c r="AY301" s="103"/>
      <c r="AZ301" s="103"/>
      <c r="BA301" s="103"/>
      <c r="BB301" s="103"/>
      <c r="BC301" s="103"/>
      <c r="BD301" s="103"/>
      <c r="BE301" s="103"/>
    </row>
    <row r="302" ht="15.75" customHeight="1">
      <c r="A302" s="174"/>
      <c r="B302" s="180"/>
      <c r="C302" s="183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184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  <c r="AS302" s="103"/>
      <c r="AT302" s="103"/>
      <c r="AU302" s="103"/>
      <c r="AV302" s="103"/>
      <c r="AW302" s="103"/>
      <c r="AX302" s="103"/>
      <c r="AY302" s="103"/>
      <c r="AZ302" s="103"/>
      <c r="BA302" s="103"/>
      <c r="BB302" s="103"/>
      <c r="BC302" s="103"/>
      <c r="BD302" s="103"/>
      <c r="BE302" s="103"/>
    </row>
    <row r="303" ht="15.75" customHeight="1">
      <c r="A303" s="174"/>
      <c r="B303" s="180"/>
      <c r="C303" s="183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184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/>
    </row>
    <row r="304" ht="15.75" customHeight="1">
      <c r="A304" s="174"/>
      <c r="B304" s="180"/>
      <c r="C304" s="183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184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  <c r="AS304" s="103"/>
      <c r="AT304" s="103"/>
      <c r="AU304" s="103"/>
      <c r="AV304" s="103"/>
      <c r="AW304" s="103"/>
      <c r="AX304" s="103"/>
      <c r="AY304" s="103"/>
      <c r="AZ304" s="103"/>
      <c r="BA304" s="103"/>
      <c r="BB304" s="103"/>
      <c r="BC304" s="103"/>
      <c r="BD304" s="103"/>
      <c r="BE304" s="103"/>
    </row>
    <row r="305" ht="15.75" customHeight="1">
      <c r="A305" s="174"/>
      <c r="B305" s="180"/>
      <c r="C305" s="183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184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  <c r="AV305" s="103"/>
      <c r="AW305" s="103"/>
      <c r="AX305" s="103"/>
      <c r="AY305" s="103"/>
      <c r="AZ305" s="103"/>
      <c r="BA305" s="103"/>
      <c r="BB305" s="103"/>
      <c r="BC305" s="103"/>
      <c r="BD305" s="103"/>
      <c r="BE305" s="103"/>
    </row>
    <row r="306" ht="15.75" customHeight="1">
      <c r="A306" s="174"/>
      <c r="B306" s="180"/>
      <c r="C306" s="183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184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  <c r="AV306" s="103"/>
      <c r="AW306" s="103"/>
      <c r="AX306" s="103"/>
      <c r="AY306" s="103"/>
      <c r="AZ306" s="103"/>
      <c r="BA306" s="103"/>
      <c r="BB306" s="103"/>
      <c r="BC306" s="103"/>
      <c r="BD306" s="103"/>
      <c r="BE306" s="103"/>
    </row>
    <row r="307" ht="15.75" customHeight="1">
      <c r="A307" s="174"/>
      <c r="B307" s="180"/>
      <c r="C307" s="183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184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/>
      <c r="AY307" s="103"/>
      <c r="AZ307" s="103"/>
      <c r="BA307" s="103"/>
      <c r="BB307" s="103"/>
      <c r="BC307" s="103"/>
      <c r="BD307" s="103"/>
      <c r="BE307" s="103"/>
    </row>
    <row r="308" ht="15.75" customHeight="1">
      <c r="A308" s="174"/>
      <c r="B308" s="180"/>
      <c r="C308" s="183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184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  <c r="AV308" s="103"/>
      <c r="AW308" s="103"/>
      <c r="AX308" s="103"/>
      <c r="AY308" s="103"/>
      <c r="AZ308" s="103"/>
      <c r="BA308" s="103"/>
      <c r="BB308" s="103"/>
      <c r="BC308" s="103"/>
      <c r="BD308" s="103"/>
      <c r="BE308" s="103"/>
    </row>
    <row r="309" ht="15.75" customHeight="1">
      <c r="A309" s="174"/>
      <c r="B309" s="180"/>
      <c r="C309" s="183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184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3"/>
      <c r="BB309" s="103"/>
      <c r="BC309" s="103"/>
      <c r="BD309" s="103"/>
      <c r="BE309" s="103"/>
    </row>
    <row r="310" ht="15.75" customHeight="1">
      <c r="A310" s="174"/>
      <c r="B310" s="180"/>
      <c r="C310" s="183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184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  <c r="AR310" s="103"/>
      <c r="AS310" s="103"/>
      <c r="AT310" s="103"/>
      <c r="AU310" s="103"/>
      <c r="AV310" s="103"/>
      <c r="AW310" s="103"/>
      <c r="AX310" s="103"/>
      <c r="AY310" s="103"/>
      <c r="AZ310" s="103"/>
      <c r="BA310" s="103"/>
      <c r="BB310" s="103"/>
      <c r="BC310" s="103"/>
      <c r="BD310" s="103"/>
      <c r="BE310" s="103"/>
    </row>
    <row r="311" ht="15.75" customHeight="1">
      <c r="A311" s="174"/>
      <c r="B311" s="180"/>
      <c r="C311" s="183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184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  <c r="AS311" s="103"/>
      <c r="AT311" s="103"/>
      <c r="AU311" s="103"/>
      <c r="AV311" s="103"/>
      <c r="AW311" s="103"/>
      <c r="AX311" s="103"/>
      <c r="AY311" s="103"/>
      <c r="AZ311" s="103"/>
      <c r="BA311" s="103"/>
      <c r="BB311" s="103"/>
      <c r="BC311" s="103"/>
      <c r="BD311" s="103"/>
      <c r="BE311" s="103"/>
    </row>
    <row r="312" ht="15.75" customHeight="1">
      <c r="A312" s="174"/>
      <c r="B312" s="180"/>
      <c r="C312" s="183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184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  <c r="AR312" s="103"/>
      <c r="AS312" s="103"/>
      <c r="AT312" s="103"/>
      <c r="AU312" s="103"/>
      <c r="AV312" s="103"/>
      <c r="AW312" s="103"/>
      <c r="AX312" s="103"/>
      <c r="AY312" s="103"/>
      <c r="AZ312" s="103"/>
      <c r="BA312" s="103"/>
      <c r="BB312" s="103"/>
      <c r="BC312" s="103"/>
      <c r="BD312" s="103"/>
      <c r="BE312" s="103"/>
    </row>
    <row r="313" ht="15.75" customHeight="1">
      <c r="A313" s="174"/>
      <c r="B313" s="180"/>
      <c r="C313" s="183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184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/>
      <c r="AX313" s="103"/>
      <c r="AY313" s="103"/>
      <c r="AZ313" s="103"/>
      <c r="BA313" s="103"/>
      <c r="BB313" s="103"/>
      <c r="BC313" s="103"/>
      <c r="BD313" s="103"/>
      <c r="BE313" s="103"/>
    </row>
    <row r="314" ht="15.75" customHeight="1">
      <c r="A314" s="174"/>
      <c r="B314" s="180"/>
      <c r="C314" s="183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184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3"/>
      <c r="BA314" s="103"/>
      <c r="BB314" s="103"/>
      <c r="BC314" s="103"/>
      <c r="BD314" s="103"/>
      <c r="BE314" s="103"/>
    </row>
    <row r="315" ht="15.75" customHeight="1">
      <c r="A315" s="174"/>
      <c r="B315" s="180"/>
      <c r="C315" s="183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184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</row>
    <row r="316" ht="15.75" customHeight="1">
      <c r="A316" s="174"/>
      <c r="B316" s="180"/>
      <c r="C316" s="183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184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</row>
    <row r="317" ht="15.75" customHeight="1">
      <c r="A317" s="174"/>
      <c r="B317" s="180"/>
      <c r="C317" s="183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184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  <c r="AS317" s="103"/>
      <c r="AT317" s="103"/>
      <c r="AU317" s="103"/>
      <c r="AV317" s="103"/>
      <c r="AW317" s="103"/>
      <c r="AX317" s="103"/>
      <c r="AY317" s="103"/>
      <c r="AZ317" s="103"/>
      <c r="BA317" s="103"/>
      <c r="BB317" s="103"/>
      <c r="BC317" s="103"/>
      <c r="BD317" s="103"/>
      <c r="BE317" s="103"/>
    </row>
    <row r="318" ht="15.75" customHeight="1">
      <c r="A318" s="174"/>
      <c r="B318" s="180"/>
      <c r="C318" s="183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184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3"/>
      <c r="AT318" s="103"/>
      <c r="AU318" s="103"/>
      <c r="AV318" s="103"/>
      <c r="AW318" s="103"/>
      <c r="AX318" s="103"/>
      <c r="AY318" s="103"/>
      <c r="AZ318" s="103"/>
      <c r="BA318" s="103"/>
      <c r="BB318" s="103"/>
      <c r="BC318" s="103"/>
      <c r="BD318" s="103"/>
      <c r="BE318" s="103"/>
    </row>
    <row r="319" ht="15.75" customHeight="1">
      <c r="A319" s="174"/>
      <c r="B319" s="180"/>
      <c r="C319" s="183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184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  <c r="AV319" s="103"/>
      <c r="AW319" s="103"/>
      <c r="AX319" s="103"/>
      <c r="AY319" s="103"/>
      <c r="AZ319" s="103"/>
      <c r="BA319" s="103"/>
      <c r="BB319" s="103"/>
      <c r="BC319" s="103"/>
      <c r="BD319" s="103"/>
      <c r="BE319" s="103"/>
    </row>
    <row r="320" ht="15.75" customHeight="1">
      <c r="A320" s="174"/>
      <c r="B320" s="180"/>
      <c r="C320" s="183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184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  <c r="AS320" s="103"/>
      <c r="AT320" s="103"/>
      <c r="AU320" s="103"/>
      <c r="AV320" s="103"/>
      <c r="AW320" s="103"/>
      <c r="AX320" s="103"/>
      <c r="AY320" s="103"/>
      <c r="AZ320" s="103"/>
      <c r="BA320" s="103"/>
      <c r="BB320" s="103"/>
      <c r="BC320" s="103"/>
      <c r="BD320" s="103"/>
      <c r="BE320" s="103"/>
    </row>
    <row r="321" ht="15.75" customHeight="1">
      <c r="A321" s="174"/>
      <c r="B321" s="180"/>
      <c r="C321" s="183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184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  <c r="AV321" s="103"/>
      <c r="AW321" s="103"/>
      <c r="AX321" s="103"/>
      <c r="AY321" s="103"/>
      <c r="AZ321" s="103"/>
      <c r="BA321" s="103"/>
      <c r="BB321" s="103"/>
      <c r="BC321" s="103"/>
      <c r="BD321" s="103"/>
      <c r="BE321" s="103"/>
    </row>
    <row r="322" ht="15.75" customHeight="1">
      <c r="A322" s="174"/>
      <c r="B322" s="180"/>
      <c r="C322" s="183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184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3"/>
    </row>
    <row r="323" ht="15.75" customHeight="1">
      <c r="A323" s="174"/>
      <c r="B323" s="180"/>
      <c r="C323" s="183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184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  <c r="AS323" s="103"/>
      <c r="AT323" s="103"/>
      <c r="AU323" s="103"/>
      <c r="AV323" s="103"/>
      <c r="AW323" s="103"/>
      <c r="AX323" s="103"/>
      <c r="AY323" s="103"/>
      <c r="AZ323" s="103"/>
      <c r="BA323" s="103"/>
      <c r="BB323" s="103"/>
      <c r="BC323" s="103"/>
      <c r="BD323" s="103"/>
      <c r="BE323" s="103"/>
    </row>
    <row r="324" ht="15.75" customHeight="1">
      <c r="A324" s="174"/>
      <c r="B324" s="180"/>
      <c r="C324" s="183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184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  <c r="AR324" s="103"/>
      <c r="AS324" s="103"/>
      <c r="AT324" s="103"/>
      <c r="AU324" s="103"/>
      <c r="AV324" s="103"/>
      <c r="AW324" s="103"/>
      <c r="AX324" s="103"/>
      <c r="AY324" s="103"/>
      <c r="AZ324" s="103"/>
      <c r="BA324" s="103"/>
      <c r="BB324" s="103"/>
      <c r="BC324" s="103"/>
      <c r="BD324" s="103"/>
      <c r="BE324" s="103"/>
    </row>
    <row r="325" ht="15.75" customHeight="1">
      <c r="A325" s="174"/>
      <c r="B325" s="180"/>
      <c r="C325" s="183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184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  <c r="AR325" s="103"/>
      <c r="AS325" s="103"/>
      <c r="AT325" s="103"/>
      <c r="AU325" s="103"/>
      <c r="AV325" s="103"/>
      <c r="AW325" s="103"/>
      <c r="AX325" s="103"/>
      <c r="AY325" s="103"/>
      <c r="AZ325" s="103"/>
      <c r="BA325" s="103"/>
      <c r="BB325" s="103"/>
      <c r="BC325" s="103"/>
      <c r="BD325" s="103"/>
      <c r="BE325" s="103"/>
    </row>
    <row r="326" ht="15.75" customHeight="1">
      <c r="A326" s="174"/>
      <c r="B326" s="180"/>
      <c r="C326" s="183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184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  <c r="AR326" s="103"/>
      <c r="AS326" s="103"/>
      <c r="AT326" s="103"/>
      <c r="AU326" s="103"/>
      <c r="AV326" s="103"/>
      <c r="AW326" s="103"/>
      <c r="AX326" s="103"/>
      <c r="AY326" s="103"/>
      <c r="AZ326" s="103"/>
      <c r="BA326" s="103"/>
      <c r="BB326" s="103"/>
      <c r="BC326" s="103"/>
      <c r="BD326" s="103"/>
      <c r="BE326" s="103"/>
    </row>
    <row r="327" ht="15.75" customHeight="1">
      <c r="A327" s="174"/>
      <c r="B327" s="180"/>
      <c r="C327" s="183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184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  <c r="AS327" s="103"/>
      <c r="AT327" s="103"/>
      <c r="AU327" s="103"/>
      <c r="AV327" s="103"/>
      <c r="AW327" s="103"/>
      <c r="AX327" s="103"/>
      <c r="AY327" s="103"/>
      <c r="AZ327" s="103"/>
      <c r="BA327" s="103"/>
      <c r="BB327" s="103"/>
      <c r="BC327" s="103"/>
      <c r="BD327" s="103"/>
      <c r="BE327" s="103"/>
    </row>
    <row r="328" ht="15.75" customHeight="1">
      <c r="A328" s="174"/>
      <c r="B328" s="180"/>
      <c r="C328" s="183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184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  <c r="AR328" s="103"/>
      <c r="AS328" s="103"/>
      <c r="AT328" s="103"/>
      <c r="AU328" s="103"/>
      <c r="AV328" s="103"/>
      <c r="AW328" s="103"/>
      <c r="AX328" s="103"/>
      <c r="AY328" s="103"/>
      <c r="AZ328" s="103"/>
      <c r="BA328" s="103"/>
      <c r="BB328" s="103"/>
      <c r="BC328" s="103"/>
      <c r="BD328" s="103"/>
      <c r="BE328" s="103"/>
    </row>
    <row r="329" ht="15.75" customHeight="1">
      <c r="A329" s="174"/>
      <c r="B329" s="180"/>
      <c r="C329" s="183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184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  <c r="AS329" s="103"/>
      <c r="AT329" s="103"/>
      <c r="AU329" s="103"/>
      <c r="AV329" s="103"/>
      <c r="AW329" s="103"/>
      <c r="AX329" s="103"/>
      <c r="AY329" s="103"/>
      <c r="AZ329" s="103"/>
      <c r="BA329" s="103"/>
      <c r="BB329" s="103"/>
      <c r="BC329" s="103"/>
      <c r="BD329" s="103"/>
      <c r="BE329" s="103"/>
    </row>
    <row r="330" ht="15.75" customHeight="1">
      <c r="A330" s="174"/>
      <c r="B330" s="180"/>
      <c r="C330" s="183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184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  <c r="AV330" s="103"/>
      <c r="AW330" s="103"/>
      <c r="AX330" s="103"/>
      <c r="AY330" s="103"/>
      <c r="AZ330" s="103"/>
      <c r="BA330" s="103"/>
      <c r="BB330" s="103"/>
      <c r="BC330" s="103"/>
      <c r="BD330" s="103"/>
      <c r="BE330" s="103"/>
    </row>
    <row r="331" ht="15.75" customHeight="1">
      <c r="A331" s="174"/>
      <c r="B331" s="180"/>
      <c r="C331" s="183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184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3"/>
      <c r="AU331" s="103"/>
      <c r="AV331" s="103"/>
      <c r="AW331" s="103"/>
      <c r="AX331" s="103"/>
      <c r="AY331" s="103"/>
      <c r="AZ331" s="103"/>
      <c r="BA331" s="103"/>
      <c r="BB331" s="103"/>
      <c r="BC331" s="103"/>
      <c r="BD331" s="103"/>
      <c r="BE331" s="103"/>
    </row>
    <row r="332" ht="15.75" customHeight="1">
      <c r="A332" s="174"/>
      <c r="B332" s="180"/>
      <c r="C332" s="183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184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  <c r="AR332" s="103"/>
      <c r="AS332" s="103"/>
      <c r="AT332" s="103"/>
      <c r="AU332" s="103"/>
      <c r="AV332" s="103"/>
      <c r="AW332" s="103"/>
      <c r="AX332" s="103"/>
      <c r="AY332" s="103"/>
      <c r="AZ332" s="103"/>
      <c r="BA332" s="103"/>
      <c r="BB332" s="103"/>
      <c r="BC332" s="103"/>
      <c r="BD332" s="103"/>
      <c r="BE332" s="103"/>
    </row>
    <row r="333" ht="15.75" customHeight="1">
      <c r="A333" s="174"/>
      <c r="B333" s="180"/>
      <c r="C333" s="183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184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</row>
    <row r="334" ht="15.75" customHeight="1">
      <c r="A334" s="174"/>
      <c r="B334" s="180"/>
      <c r="C334" s="183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184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  <c r="AR334" s="103"/>
      <c r="AS334" s="103"/>
      <c r="AT334" s="103"/>
      <c r="AU334" s="103"/>
      <c r="AV334" s="103"/>
      <c r="AW334" s="103"/>
      <c r="AX334" s="103"/>
      <c r="AY334" s="103"/>
      <c r="AZ334" s="103"/>
      <c r="BA334" s="103"/>
      <c r="BB334" s="103"/>
      <c r="BC334" s="103"/>
      <c r="BD334" s="103"/>
      <c r="BE334" s="103"/>
    </row>
    <row r="335" ht="15.75" customHeight="1">
      <c r="A335" s="174"/>
      <c r="B335" s="180"/>
      <c r="C335" s="183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184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  <c r="AS335" s="103"/>
      <c r="AT335" s="103"/>
      <c r="AU335" s="103"/>
      <c r="AV335" s="103"/>
      <c r="AW335" s="103"/>
      <c r="AX335" s="103"/>
      <c r="AY335" s="103"/>
      <c r="AZ335" s="103"/>
      <c r="BA335" s="103"/>
      <c r="BB335" s="103"/>
      <c r="BC335" s="103"/>
      <c r="BD335" s="103"/>
      <c r="BE335" s="103"/>
    </row>
    <row r="336" ht="15.75" customHeight="1">
      <c r="A336" s="174"/>
      <c r="B336" s="180"/>
      <c r="C336" s="183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184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  <c r="AV336" s="103"/>
      <c r="AW336" s="103"/>
      <c r="AX336" s="103"/>
      <c r="AY336" s="103"/>
      <c r="AZ336" s="103"/>
      <c r="BA336" s="103"/>
      <c r="BB336" s="103"/>
      <c r="BC336" s="103"/>
      <c r="BD336" s="103"/>
      <c r="BE336" s="103"/>
    </row>
    <row r="337" ht="15.75" customHeight="1">
      <c r="A337" s="174"/>
      <c r="B337" s="180"/>
      <c r="C337" s="183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184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  <c r="AS337" s="103"/>
      <c r="AT337" s="103"/>
      <c r="AU337" s="103"/>
      <c r="AV337" s="103"/>
      <c r="AW337" s="103"/>
      <c r="AX337" s="103"/>
      <c r="AY337" s="103"/>
      <c r="AZ337" s="103"/>
      <c r="BA337" s="103"/>
      <c r="BB337" s="103"/>
      <c r="BC337" s="103"/>
      <c r="BD337" s="103"/>
      <c r="BE337" s="103"/>
    </row>
    <row r="338" ht="15.75" customHeight="1">
      <c r="A338" s="174"/>
      <c r="B338" s="180"/>
      <c r="C338" s="183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184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  <c r="AR338" s="103"/>
      <c r="AS338" s="103"/>
      <c r="AT338" s="103"/>
      <c r="AU338" s="103"/>
      <c r="AV338" s="103"/>
      <c r="AW338" s="103"/>
      <c r="AX338" s="103"/>
      <c r="AY338" s="103"/>
      <c r="AZ338" s="103"/>
      <c r="BA338" s="103"/>
      <c r="BB338" s="103"/>
      <c r="BC338" s="103"/>
      <c r="BD338" s="103"/>
      <c r="BE338" s="103"/>
    </row>
    <row r="339" ht="15.75" customHeight="1">
      <c r="A339" s="174"/>
      <c r="B339" s="180"/>
      <c r="C339" s="183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184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  <c r="AS339" s="103"/>
      <c r="AT339" s="103"/>
      <c r="AU339" s="103"/>
      <c r="AV339" s="103"/>
      <c r="AW339" s="103"/>
      <c r="AX339" s="103"/>
      <c r="AY339" s="103"/>
      <c r="AZ339" s="103"/>
      <c r="BA339" s="103"/>
      <c r="BB339" s="103"/>
      <c r="BC339" s="103"/>
      <c r="BD339" s="103"/>
      <c r="BE339" s="103"/>
    </row>
    <row r="340" ht="15.75" customHeight="1">
      <c r="A340" s="174"/>
      <c r="B340" s="180"/>
      <c r="C340" s="183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184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  <c r="AS340" s="103"/>
      <c r="AT340" s="103"/>
      <c r="AU340" s="103"/>
      <c r="AV340" s="103"/>
      <c r="AW340" s="103"/>
      <c r="AX340" s="103"/>
      <c r="AY340" s="103"/>
      <c r="AZ340" s="103"/>
      <c r="BA340" s="103"/>
      <c r="BB340" s="103"/>
      <c r="BC340" s="103"/>
      <c r="BD340" s="103"/>
      <c r="BE340" s="103"/>
    </row>
    <row r="341" ht="15.75" customHeight="1">
      <c r="A341" s="174"/>
      <c r="B341" s="180"/>
      <c r="C341" s="183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184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  <c r="AS341" s="103"/>
      <c r="AT341" s="103"/>
      <c r="AU341" s="103"/>
      <c r="AV341" s="103"/>
      <c r="AW341" s="103"/>
      <c r="AX341" s="103"/>
      <c r="AY341" s="103"/>
      <c r="AZ341" s="103"/>
      <c r="BA341" s="103"/>
      <c r="BB341" s="103"/>
      <c r="BC341" s="103"/>
      <c r="BD341" s="103"/>
      <c r="BE341" s="103"/>
    </row>
    <row r="342" ht="15.75" customHeight="1">
      <c r="A342" s="174"/>
      <c r="B342" s="180"/>
      <c r="C342" s="183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184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  <c r="AR342" s="103"/>
      <c r="AS342" s="103"/>
      <c r="AT342" s="103"/>
      <c r="AU342" s="103"/>
      <c r="AV342" s="103"/>
      <c r="AW342" s="103"/>
      <c r="AX342" s="103"/>
      <c r="AY342" s="103"/>
      <c r="AZ342" s="103"/>
      <c r="BA342" s="103"/>
      <c r="BB342" s="103"/>
      <c r="BC342" s="103"/>
      <c r="BD342" s="103"/>
      <c r="BE342" s="103"/>
    </row>
    <row r="343" ht="15.75" customHeight="1">
      <c r="A343" s="174"/>
      <c r="B343" s="180"/>
      <c r="C343" s="183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184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  <c r="AV343" s="103"/>
      <c r="AW343" s="103"/>
      <c r="AX343" s="103"/>
      <c r="AY343" s="103"/>
      <c r="AZ343" s="103"/>
      <c r="BA343" s="103"/>
      <c r="BB343" s="103"/>
      <c r="BC343" s="103"/>
      <c r="BD343" s="103"/>
      <c r="BE343" s="103"/>
    </row>
    <row r="344" ht="15.75" customHeight="1">
      <c r="A344" s="174"/>
      <c r="B344" s="180"/>
      <c r="C344" s="183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184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  <c r="AS344" s="103"/>
      <c r="AT344" s="103"/>
      <c r="AU344" s="103"/>
      <c r="AV344" s="103"/>
      <c r="AW344" s="103"/>
      <c r="AX344" s="103"/>
      <c r="AY344" s="103"/>
      <c r="AZ344" s="103"/>
      <c r="BA344" s="103"/>
      <c r="BB344" s="103"/>
      <c r="BC344" s="103"/>
      <c r="BD344" s="103"/>
      <c r="BE344" s="103"/>
    </row>
    <row r="345" ht="15.75" customHeight="1">
      <c r="A345" s="174"/>
      <c r="B345" s="180"/>
      <c r="C345" s="183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184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  <c r="AS345" s="103"/>
      <c r="AT345" s="103"/>
      <c r="AU345" s="103"/>
      <c r="AV345" s="103"/>
      <c r="AW345" s="103"/>
      <c r="AX345" s="103"/>
      <c r="AY345" s="103"/>
      <c r="AZ345" s="103"/>
      <c r="BA345" s="103"/>
      <c r="BB345" s="103"/>
      <c r="BC345" s="103"/>
      <c r="BD345" s="103"/>
      <c r="BE345" s="103"/>
    </row>
    <row r="346" ht="15.75" customHeight="1">
      <c r="A346" s="174"/>
      <c r="B346" s="180"/>
      <c r="C346" s="183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184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  <c r="AS346" s="103"/>
      <c r="AT346" s="103"/>
      <c r="AU346" s="103"/>
      <c r="AV346" s="103"/>
      <c r="AW346" s="103"/>
      <c r="AX346" s="103"/>
      <c r="AY346" s="103"/>
      <c r="AZ346" s="103"/>
      <c r="BA346" s="103"/>
      <c r="BB346" s="103"/>
      <c r="BC346" s="103"/>
      <c r="BD346" s="103"/>
      <c r="BE346" s="103"/>
    </row>
    <row r="347" ht="15.75" customHeight="1">
      <c r="A347" s="174"/>
      <c r="B347" s="180"/>
      <c r="C347" s="183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184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</row>
    <row r="348" ht="15.75" customHeight="1">
      <c r="A348" s="174"/>
      <c r="B348" s="180"/>
      <c r="C348" s="183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184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  <c r="AV348" s="103"/>
      <c r="AW348" s="103"/>
      <c r="AX348" s="103"/>
      <c r="AY348" s="103"/>
      <c r="AZ348" s="103"/>
      <c r="BA348" s="103"/>
      <c r="BB348" s="103"/>
      <c r="BC348" s="103"/>
      <c r="BD348" s="103"/>
      <c r="BE348" s="103"/>
    </row>
    <row r="349" ht="15.75" customHeight="1">
      <c r="A349" s="174"/>
      <c r="B349" s="180"/>
      <c r="C349" s="183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184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</row>
    <row r="350" ht="15.75" customHeight="1">
      <c r="A350" s="174"/>
      <c r="B350" s="180"/>
      <c r="C350" s="183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184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  <c r="AS350" s="103"/>
      <c r="AT350" s="103"/>
      <c r="AU350" s="103"/>
      <c r="AV350" s="103"/>
      <c r="AW350" s="103"/>
      <c r="AX350" s="103"/>
      <c r="AY350" s="103"/>
      <c r="AZ350" s="103"/>
      <c r="BA350" s="103"/>
      <c r="BB350" s="103"/>
      <c r="BC350" s="103"/>
      <c r="BD350" s="103"/>
      <c r="BE350" s="103"/>
    </row>
    <row r="351" ht="15.75" customHeight="1">
      <c r="A351" s="174"/>
      <c r="B351" s="180"/>
      <c r="C351" s="183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184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/>
      <c r="AU351" s="103"/>
      <c r="AV351" s="103"/>
      <c r="AW351" s="103"/>
      <c r="AX351" s="103"/>
      <c r="AY351" s="103"/>
      <c r="AZ351" s="103"/>
      <c r="BA351" s="103"/>
      <c r="BB351" s="103"/>
      <c r="BC351" s="103"/>
      <c r="BD351" s="103"/>
      <c r="BE351" s="103"/>
    </row>
    <row r="352" ht="15.75" customHeight="1">
      <c r="A352" s="174"/>
      <c r="B352" s="180"/>
      <c r="C352" s="183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184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  <c r="AS352" s="103"/>
      <c r="AT352" s="103"/>
      <c r="AU352" s="103"/>
      <c r="AV352" s="103"/>
      <c r="AW352" s="103"/>
      <c r="AX352" s="103"/>
      <c r="AY352" s="103"/>
      <c r="AZ352" s="103"/>
      <c r="BA352" s="103"/>
      <c r="BB352" s="103"/>
      <c r="BC352" s="103"/>
      <c r="BD352" s="103"/>
      <c r="BE352" s="103"/>
    </row>
    <row r="353" ht="15.75" customHeight="1">
      <c r="A353" s="174"/>
      <c r="B353" s="180"/>
      <c r="C353" s="183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184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/>
      <c r="AU353" s="103"/>
      <c r="AV353" s="103"/>
      <c r="AW353" s="103"/>
      <c r="AX353" s="103"/>
      <c r="AY353" s="103"/>
      <c r="AZ353" s="103"/>
      <c r="BA353" s="103"/>
      <c r="BB353" s="103"/>
      <c r="BC353" s="103"/>
      <c r="BD353" s="103"/>
      <c r="BE353" s="103"/>
    </row>
    <row r="354" ht="15.75" customHeight="1">
      <c r="A354" s="174"/>
      <c r="B354" s="180"/>
      <c r="C354" s="183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184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  <c r="AV354" s="103"/>
      <c r="AW354" s="103"/>
      <c r="AX354" s="103"/>
      <c r="AY354" s="103"/>
      <c r="AZ354" s="103"/>
      <c r="BA354" s="103"/>
      <c r="BB354" s="103"/>
      <c r="BC354" s="103"/>
      <c r="BD354" s="103"/>
      <c r="BE354" s="103"/>
    </row>
    <row r="355" ht="15.75" customHeight="1">
      <c r="A355" s="174"/>
      <c r="B355" s="180"/>
      <c r="C355" s="183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184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  <c r="AS355" s="103"/>
      <c r="AT355" s="103"/>
      <c r="AU355" s="103"/>
      <c r="AV355" s="103"/>
      <c r="AW355" s="103"/>
      <c r="AX355" s="103"/>
      <c r="AY355" s="103"/>
      <c r="AZ355" s="103"/>
      <c r="BA355" s="103"/>
      <c r="BB355" s="103"/>
      <c r="BC355" s="103"/>
      <c r="BD355" s="103"/>
      <c r="BE355" s="103"/>
    </row>
    <row r="356" ht="15.75" customHeight="1">
      <c r="A356" s="174"/>
      <c r="B356" s="180"/>
      <c r="C356" s="183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184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  <c r="AR356" s="103"/>
      <c r="AS356" s="103"/>
      <c r="AT356" s="103"/>
      <c r="AU356" s="103"/>
      <c r="AV356" s="103"/>
      <c r="AW356" s="103"/>
      <c r="AX356" s="103"/>
      <c r="AY356" s="103"/>
      <c r="AZ356" s="103"/>
      <c r="BA356" s="103"/>
      <c r="BB356" s="103"/>
      <c r="BC356" s="103"/>
      <c r="BD356" s="103"/>
      <c r="BE356" s="103"/>
    </row>
    <row r="357" ht="15.75" customHeight="1">
      <c r="A357" s="174"/>
      <c r="B357" s="180"/>
      <c r="C357" s="183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184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  <c r="AS357" s="103"/>
      <c r="AT357" s="103"/>
      <c r="AU357" s="103"/>
      <c r="AV357" s="103"/>
      <c r="AW357" s="103"/>
      <c r="AX357" s="103"/>
      <c r="AY357" s="103"/>
      <c r="AZ357" s="103"/>
      <c r="BA357" s="103"/>
      <c r="BB357" s="103"/>
      <c r="BC357" s="103"/>
      <c r="BD357" s="103"/>
      <c r="BE357" s="103"/>
    </row>
    <row r="358" ht="15.75" customHeight="1">
      <c r="A358" s="174"/>
      <c r="B358" s="180"/>
      <c r="C358" s="183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184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  <c r="AS358" s="103"/>
      <c r="AT358" s="103"/>
      <c r="AU358" s="103"/>
      <c r="AV358" s="103"/>
      <c r="AW358" s="103"/>
      <c r="AX358" s="103"/>
      <c r="AY358" s="103"/>
      <c r="AZ358" s="103"/>
      <c r="BA358" s="103"/>
      <c r="BB358" s="103"/>
      <c r="BC358" s="103"/>
      <c r="BD358" s="103"/>
      <c r="BE358" s="103"/>
    </row>
    <row r="359" ht="15.75" customHeight="1">
      <c r="A359" s="174"/>
      <c r="B359" s="180"/>
      <c r="C359" s="183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184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  <c r="AV359" s="103"/>
      <c r="AW359" s="103"/>
      <c r="AX359" s="103"/>
      <c r="AY359" s="103"/>
      <c r="AZ359" s="103"/>
      <c r="BA359" s="103"/>
      <c r="BB359" s="103"/>
      <c r="BC359" s="103"/>
      <c r="BD359" s="103"/>
      <c r="BE359" s="103"/>
    </row>
    <row r="360" ht="15.75" customHeight="1">
      <c r="A360" s="174"/>
      <c r="B360" s="180"/>
      <c r="C360" s="183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184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  <c r="AV360" s="103"/>
      <c r="AW360" s="103"/>
      <c r="AX360" s="103"/>
      <c r="AY360" s="103"/>
      <c r="AZ360" s="103"/>
      <c r="BA360" s="103"/>
      <c r="BB360" s="103"/>
      <c r="BC360" s="103"/>
      <c r="BD360" s="103"/>
      <c r="BE360" s="103"/>
    </row>
    <row r="361" ht="15.75" customHeight="1">
      <c r="A361" s="174"/>
      <c r="B361" s="180"/>
      <c r="C361" s="183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184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103"/>
      <c r="AV361" s="103"/>
      <c r="AW361" s="103"/>
      <c r="AX361" s="103"/>
      <c r="AY361" s="103"/>
      <c r="AZ361" s="103"/>
      <c r="BA361" s="103"/>
      <c r="BB361" s="103"/>
      <c r="BC361" s="103"/>
      <c r="BD361" s="103"/>
      <c r="BE361" s="103"/>
    </row>
    <row r="362" ht="15.75" customHeight="1">
      <c r="A362" s="174"/>
      <c r="B362" s="180"/>
      <c r="C362" s="183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184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  <c r="AS362" s="103"/>
      <c r="AT362" s="103"/>
      <c r="AU362" s="103"/>
      <c r="AV362" s="103"/>
      <c r="AW362" s="103"/>
      <c r="AX362" s="103"/>
      <c r="AY362" s="103"/>
      <c r="AZ362" s="103"/>
      <c r="BA362" s="103"/>
      <c r="BB362" s="103"/>
      <c r="BC362" s="103"/>
      <c r="BD362" s="103"/>
      <c r="BE362" s="103"/>
    </row>
    <row r="363" ht="15.75" customHeight="1">
      <c r="A363" s="174"/>
      <c r="B363" s="180"/>
      <c r="C363" s="183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184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  <c r="AS363" s="103"/>
      <c r="AT363" s="103"/>
      <c r="AU363" s="103"/>
      <c r="AV363" s="103"/>
      <c r="AW363" s="103"/>
      <c r="AX363" s="103"/>
      <c r="AY363" s="103"/>
      <c r="AZ363" s="103"/>
      <c r="BA363" s="103"/>
      <c r="BB363" s="103"/>
      <c r="BC363" s="103"/>
      <c r="BD363" s="103"/>
      <c r="BE363" s="103"/>
    </row>
    <row r="364" ht="15.75" customHeight="1">
      <c r="A364" s="174"/>
      <c r="B364" s="180"/>
      <c r="C364" s="183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184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  <c r="AR364" s="103"/>
      <c r="AS364" s="103"/>
      <c r="AT364" s="103"/>
      <c r="AU364" s="103"/>
      <c r="AV364" s="103"/>
      <c r="AW364" s="103"/>
      <c r="AX364" s="103"/>
      <c r="AY364" s="103"/>
      <c r="AZ364" s="103"/>
      <c r="BA364" s="103"/>
      <c r="BB364" s="103"/>
      <c r="BC364" s="103"/>
      <c r="BD364" s="103"/>
      <c r="BE364" s="103"/>
    </row>
    <row r="365" ht="15.75" customHeight="1">
      <c r="A365" s="174"/>
      <c r="B365" s="180"/>
      <c r="C365" s="183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184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  <c r="AS365" s="103"/>
      <c r="AT365" s="103"/>
      <c r="AU365" s="103"/>
      <c r="AV365" s="103"/>
      <c r="AW365" s="103"/>
      <c r="AX365" s="103"/>
      <c r="AY365" s="103"/>
      <c r="AZ365" s="103"/>
      <c r="BA365" s="103"/>
      <c r="BB365" s="103"/>
      <c r="BC365" s="103"/>
      <c r="BD365" s="103"/>
      <c r="BE365" s="103"/>
    </row>
    <row r="366" ht="15.75" customHeight="1">
      <c r="A366" s="174"/>
      <c r="B366" s="180"/>
      <c r="C366" s="183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184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  <c r="AR366" s="103"/>
      <c r="AS366" s="103"/>
      <c r="AT366" s="103"/>
      <c r="AU366" s="103"/>
      <c r="AV366" s="103"/>
      <c r="AW366" s="103"/>
      <c r="AX366" s="103"/>
      <c r="AY366" s="103"/>
      <c r="AZ366" s="103"/>
      <c r="BA366" s="103"/>
      <c r="BB366" s="103"/>
      <c r="BC366" s="103"/>
      <c r="BD366" s="103"/>
      <c r="BE366" s="103"/>
    </row>
    <row r="367" ht="15.75" customHeight="1">
      <c r="A367" s="174"/>
      <c r="B367" s="180"/>
      <c r="C367" s="183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184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  <c r="AV367" s="103"/>
      <c r="AW367" s="103"/>
      <c r="AX367" s="103"/>
      <c r="AY367" s="103"/>
      <c r="AZ367" s="103"/>
      <c r="BA367" s="103"/>
      <c r="BB367" s="103"/>
      <c r="BC367" s="103"/>
      <c r="BD367" s="103"/>
      <c r="BE367" s="103"/>
    </row>
    <row r="368" ht="15.75" customHeight="1">
      <c r="A368" s="174"/>
      <c r="B368" s="180"/>
      <c r="C368" s="183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184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  <c r="AV368" s="103"/>
      <c r="AW368" s="103"/>
      <c r="AX368" s="103"/>
      <c r="AY368" s="103"/>
      <c r="AZ368" s="103"/>
      <c r="BA368" s="103"/>
      <c r="BB368" s="103"/>
      <c r="BC368" s="103"/>
      <c r="BD368" s="103"/>
      <c r="BE368" s="103"/>
    </row>
    <row r="369" ht="15.75" customHeight="1">
      <c r="A369" s="174"/>
      <c r="B369" s="180"/>
      <c r="C369" s="183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184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  <c r="AS369" s="103"/>
      <c r="AT369" s="103"/>
      <c r="AU369" s="103"/>
      <c r="AV369" s="103"/>
      <c r="AW369" s="103"/>
      <c r="AX369" s="103"/>
      <c r="AY369" s="103"/>
      <c r="AZ369" s="103"/>
      <c r="BA369" s="103"/>
      <c r="BB369" s="103"/>
      <c r="BC369" s="103"/>
      <c r="BD369" s="103"/>
      <c r="BE369" s="103"/>
    </row>
    <row r="370" ht="15.75" customHeight="1">
      <c r="A370" s="174"/>
      <c r="B370" s="180"/>
      <c r="C370" s="183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184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  <c r="BB370" s="103"/>
      <c r="BC370" s="103"/>
      <c r="BD370" s="103"/>
      <c r="BE370" s="103"/>
    </row>
    <row r="371" ht="15.75" customHeight="1">
      <c r="A371" s="174"/>
      <c r="B371" s="180"/>
      <c r="C371" s="183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184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  <c r="AS371" s="103"/>
      <c r="AT371" s="103"/>
      <c r="AU371" s="103"/>
      <c r="AV371" s="103"/>
      <c r="AW371" s="103"/>
      <c r="AX371" s="103"/>
      <c r="AY371" s="103"/>
      <c r="AZ371" s="103"/>
      <c r="BA371" s="103"/>
      <c r="BB371" s="103"/>
      <c r="BC371" s="103"/>
      <c r="BD371" s="103"/>
      <c r="BE371" s="103"/>
    </row>
    <row r="372" ht="15.75" customHeight="1">
      <c r="A372" s="174"/>
      <c r="B372" s="180"/>
      <c r="C372" s="183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184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  <c r="AS372" s="103"/>
      <c r="AT372" s="103"/>
      <c r="AU372" s="103"/>
      <c r="AV372" s="103"/>
      <c r="AW372" s="103"/>
      <c r="AX372" s="103"/>
      <c r="AY372" s="103"/>
      <c r="AZ372" s="103"/>
      <c r="BA372" s="103"/>
      <c r="BB372" s="103"/>
      <c r="BC372" s="103"/>
      <c r="BD372" s="103"/>
      <c r="BE372" s="103"/>
    </row>
    <row r="373" ht="15.75" customHeight="1">
      <c r="A373" s="174"/>
      <c r="B373" s="180"/>
      <c r="C373" s="183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184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  <c r="AS373" s="103"/>
      <c r="AT373" s="103"/>
      <c r="AU373" s="103"/>
      <c r="AV373" s="103"/>
      <c r="AW373" s="103"/>
      <c r="AX373" s="103"/>
      <c r="AY373" s="103"/>
      <c r="AZ373" s="103"/>
      <c r="BA373" s="103"/>
      <c r="BB373" s="103"/>
      <c r="BC373" s="103"/>
      <c r="BD373" s="103"/>
      <c r="BE373" s="103"/>
    </row>
    <row r="374" ht="15.75" customHeight="1">
      <c r="A374" s="174"/>
      <c r="B374" s="180"/>
      <c r="C374" s="183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184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  <c r="AS374" s="103"/>
      <c r="AT374" s="103"/>
      <c r="AU374" s="103"/>
      <c r="AV374" s="103"/>
      <c r="AW374" s="103"/>
      <c r="AX374" s="103"/>
      <c r="AY374" s="103"/>
      <c r="AZ374" s="103"/>
      <c r="BA374" s="103"/>
      <c r="BB374" s="103"/>
      <c r="BC374" s="103"/>
      <c r="BD374" s="103"/>
      <c r="BE374" s="103"/>
    </row>
    <row r="375" ht="15.75" customHeight="1">
      <c r="A375" s="174"/>
      <c r="B375" s="180"/>
      <c r="C375" s="183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184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  <c r="AS375" s="103"/>
      <c r="AT375" s="103"/>
      <c r="AU375" s="103"/>
      <c r="AV375" s="103"/>
      <c r="AW375" s="103"/>
      <c r="AX375" s="103"/>
      <c r="AY375" s="103"/>
      <c r="AZ375" s="103"/>
      <c r="BA375" s="103"/>
      <c r="BB375" s="103"/>
      <c r="BC375" s="103"/>
      <c r="BD375" s="103"/>
      <c r="BE375" s="103"/>
    </row>
    <row r="376" ht="15.75" customHeight="1">
      <c r="A376" s="174"/>
      <c r="B376" s="180"/>
      <c r="C376" s="183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184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  <c r="AR376" s="103"/>
      <c r="AS376" s="103"/>
      <c r="AT376" s="103"/>
      <c r="AU376" s="103"/>
      <c r="AV376" s="103"/>
      <c r="AW376" s="103"/>
      <c r="AX376" s="103"/>
      <c r="AY376" s="103"/>
      <c r="AZ376" s="103"/>
      <c r="BA376" s="103"/>
      <c r="BB376" s="103"/>
      <c r="BC376" s="103"/>
      <c r="BD376" s="103"/>
      <c r="BE376" s="103"/>
    </row>
    <row r="377" ht="15.75" customHeight="1">
      <c r="A377" s="174"/>
      <c r="B377" s="180"/>
      <c r="C377" s="183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184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  <c r="AS377" s="103"/>
      <c r="AT377" s="103"/>
      <c r="AU377" s="103"/>
      <c r="AV377" s="103"/>
      <c r="AW377" s="103"/>
      <c r="AX377" s="103"/>
      <c r="AY377" s="103"/>
      <c r="AZ377" s="103"/>
      <c r="BA377" s="103"/>
      <c r="BB377" s="103"/>
      <c r="BC377" s="103"/>
      <c r="BD377" s="103"/>
      <c r="BE377" s="103"/>
    </row>
    <row r="378" ht="15.75" customHeight="1">
      <c r="A378" s="174"/>
      <c r="B378" s="180"/>
      <c r="C378" s="183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184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  <c r="AR378" s="103"/>
      <c r="AS378" s="103"/>
      <c r="AT378" s="103"/>
      <c r="AU378" s="103"/>
      <c r="AV378" s="103"/>
      <c r="AW378" s="103"/>
      <c r="AX378" s="103"/>
      <c r="AY378" s="103"/>
      <c r="AZ378" s="103"/>
      <c r="BA378" s="103"/>
      <c r="BB378" s="103"/>
      <c r="BC378" s="103"/>
      <c r="BD378" s="103"/>
      <c r="BE378" s="103"/>
    </row>
    <row r="379" ht="15.75" customHeight="1">
      <c r="A379" s="174"/>
      <c r="B379" s="180"/>
      <c r="C379" s="183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184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  <c r="AS379" s="103"/>
      <c r="AT379" s="103"/>
      <c r="AU379" s="103"/>
      <c r="AV379" s="103"/>
      <c r="AW379" s="103"/>
      <c r="AX379" s="103"/>
      <c r="AY379" s="103"/>
      <c r="AZ379" s="103"/>
      <c r="BA379" s="103"/>
      <c r="BB379" s="103"/>
      <c r="BC379" s="103"/>
      <c r="BD379" s="103"/>
      <c r="BE379" s="103"/>
    </row>
    <row r="380" ht="15.75" customHeight="1">
      <c r="A380" s="174"/>
      <c r="B380" s="180"/>
      <c r="C380" s="183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184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  <c r="AS380" s="103"/>
      <c r="AT380" s="103"/>
      <c r="AU380" s="103"/>
      <c r="AV380" s="103"/>
      <c r="AW380" s="103"/>
      <c r="AX380" s="103"/>
      <c r="AY380" s="103"/>
      <c r="AZ380" s="103"/>
      <c r="BA380" s="103"/>
      <c r="BB380" s="103"/>
      <c r="BC380" s="103"/>
      <c r="BD380" s="103"/>
      <c r="BE380" s="103"/>
    </row>
    <row r="381" ht="15.75" customHeight="1">
      <c r="A381" s="174"/>
      <c r="B381" s="180"/>
      <c r="C381" s="183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184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  <c r="AS381" s="103"/>
      <c r="AT381" s="103"/>
      <c r="AU381" s="103"/>
      <c r="AV381" s="103"/>
      <c r="AW381" s="103"/>
      <c r="AX381" s="103"/>
      <c r="AY381" s="103"/>
      <c r="AZ381" s="103"/>
      <c r="BA381" s="103"/>
      <c r="BB381" s="103"/>
      <c r="BC381" s="103"/>
      <c r="BD381" s="103"/>
      <c r="BE381" s="103"/>
    </row>
    <row r="382" ht="15.75" customHeight="1">
      <c r="A382" s="174"/>
      <c r="B382" s="180"/>
      <c r="C382" s="183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184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  <c r="AR382" s="103"/>
      <c r="AS382" s="103"/>
      <c r="AT382" s="103"/>
      <c r="AU382" s="103"/>
      <c r="AV382" s="103"/>
      <c r="AW382" s="103"/>
      <c r="AX382" s="103"/>
      <c r="AY382" s="103"/>
      <c r="AZ382" s="103"/>
      <c r="BA382" s="103"/>
      <c r="BB382" s="103"/>
      <c r="BC382" s="103"/>
      <c r="BD382" s="103"/>
      <c r="BE382" s="103"/>
    </row>
    <row r="383" ht="15.75" customHeight="1">
      <c r="A383" s="174"/>
      <c r="B383" s="180"/>
      <c r="C383" s="183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184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  <c r="AS383" s="103"/>
      <c r="AT383" s="103"/>
      <c r="AU383" s="103"/>
      <c r="AV383" s="103"/>
      <c r="AW383" s="103"/>
      <c r="AX383" s="103"/>
      <c r="AY383" s="103"/>
      <c r="AZ383" s="103"/>
      <c r="BA383" s="103"/>
      <c r="BB383" s="103"/>
      <c r="BC383" s="103"/>
      <c r="BD383" s="103"/>
      <c r="BE383" s="103"/>
    </row>
    <row r="384" ht="15.75" customHeight="1">
      <c r="A384" s="174"/>
      <c r="B384" s="180"/>
      <c r="C384" s="183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184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  <c r="AR384" s="103"/>
      <c r="AS384" s="103"/>
      <c r="AT384" s="103"/>
      <c r="AU384" s="103"/>
      <c r="AV384" s="103"/>
      <c r="AW384" s="103"/>
      <c r="AX384" s="103"/>
      <c r="AY384" s="103"/>
      <c r="AZ384" s="103"/>
      <c r="BA384" s="103"/>
      <c r="BB384" s="103"/>
      <c r="BC384" s="103"/>
      <c r="BD384" s="103"/>
      <c r="BE384" s="103"/>
    </row>
    <row r="385" ht="15.75" customHeight="1">
      <c r="A385" s="174"/>
      <c r="B385" s="180"/>
      <c r="C385" s="183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184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  <c r="AV385" s="103"/>
      <c r="AW385" s="103"/>
      <c r="AX385" s="103"/>
      <c r="AY385" s="103"/>
      <c r="AZ385" s="103"/>
      <c r="BA385" s="103"/>
      <c r="BB385" s="103"/>
      <c r="BC385" s="103"/>
      <c r="BD385" s="103"/>
      <c r="BE385" s="103"/>
    </row>
    <row r="386" ht="15.75" customHeight="1">
      <c r="A386" s="174"/>
      <c r="B386" s="180"/>
      <c r="C386" s="183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184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  <c r="AR386" s="103"/>
      <c r="AS386" s="103"/>
      <c r="AT386" s="103"/>
      <c r="AU386" s="103"/>
      <c r="AV386" s="103"/>
      <c r="AW386" s="103"/>
      <c r="AX386" s="103"/>
      <c r="AY386" s="103"/>
      <c r="AZ386" s="103"/>
      <c r="BA386" s="103"/>
      <c r="BB386" s="103"/>
      <c r="BC386" s="103"/>
      <c r="BD386" s="103"/>
      <c r="BE386" s="103"/>
    </row>
    <row r="387" ht="15.75" customHeight="1">
      <c r="A387" s="174"/>
      <c r="B387" s="180"/>
      <c r="C387" s="183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184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  <c r="AS387" s="103"/>
      <c r="AT387" s="103"/>
      <c r="AU387" s="103"/>
      <c r="AV387" s="103"/>
      <c r="AW387" s="103"/>
      <c r="AX387" s="103"/>
      <c r="AY387" s="103"/>
      <c r="AZ387" s="103"/>
      <c r="BA387" s="103"/>
      <c r="BB387" s="103"/>
      <c r="BC387" s="103"/>
      <c r="BD387" s="103"/>
      <c r="BE387" s="103"/>
    </row>
    <row r="388" ht="15.75" customHeight="1">
      <c r="A388" s="174"/>
      <c r="B388" s="180"/>
      <c r="C388" s="183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184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  <c r="AR388" s="103"/>
      <c r="AS388" s="103"/>
      <c r="AT388" s="103"/>
      <c r="AU388" s="103"/>
      <c r="AV388" s="103"/>
      <c r="AW388" s="103"/>
      <c r="AX388" s="103"/>
      <c r="AY388" s="103"/>
      <c r="AZ388" s="103"/>
      <c r="BA388" s="103"/>
      <c r="BB388" s="103"/>
      <c r="BC388" s="103"/>
      <c r="BD388" s="103"/>
      <c r="BE388" s="103"/>
    </row>
    <row r="389" ht="15.75" customHeight="1">
      <c r="A389" s="174"/>
      <c r="B389" s="180"/>
      <c r="C389" s="183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184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  <c r="AS389" s="103"/>
      <c r="AT389" s="103"/>
      <c r="AU389" s="103"/>
      <c r="AV389" s="103"/>
      <c r="AW389" s="103"/>
      <c r="AX389" s="103"/>
      <c r="AY389" s="103"/>
      <c r="AZ389" s="103"/>
      <c r="BA389" s="103"/>
      <c r="BB389" s="103"/>
      <c r="BC389" s="103"/>
      <c r="BD389" s="103"/>
      <c r="BE389" s="103"/>
    </row>
    <row r="390" ht="15.75" customHeight="1">
      <c r="A390" s="174"/>
      <c r="B390" s="180"/>
      <c r="C390" s="183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184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  <c r="AR390" s="103"/>
      <c r="AS390" s="103"/>
      <c r="AT390" s="103"/>
      <c r="AU390" s="103"/>
      <c r="AV390" s="103"/>
      <c r="AW390" s="103"/>
      <c r="AX390" s="103"/>
      <c r="AY390" s="103"/>
      <c r="AZ390" s="103"/>
      <c r="BA390" s="103"/>
      <c r="BB390" s="103"/>
      <c r="BC390" s="103"/>
      <c r="BD390" s="103"/>
      <c r="BE390" s="103"/>
    </row>
    <row r="391" ht="15.75" customHeight="1">
      <c r="A391" s="174"/>
      <c r="B391" s="180"/>
      <c r="C391" s="183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184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  <c r="AR391" s="103"/>
      <c r="AS391" s="103"/>
      <c r="AT391" s="103"/>
      <c r="AU391" s="103"/>
      <c r="AV391" s="103"/>
      <c r="AW391" s="103"/>
      <c r="AX391" s="103"/>
      <c r="AY391" s="103"/>
      <c r="AZ391" s="103"/>
      <c r="BA391" s="103"/>
      <c r="BB391" s="103"/>
      <c r="BC391" s="103"/>
      <c r="BD391" s="103"/>
      <c r="BE391" s="103"/>
    </row>
    <row r="392" ht="15.75" customHeight="1">
      <c r="A392" s="174"/>
      <c r="B392" s="180"/>
      <c r="C392" s="183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184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  <c r="AR392" s="103"/>
      <c r="AS392" s="103"/>
      <c r="AT392" s="103"/>
      <c r="AU392" s="103"/>
      <c r="AV392" s="103"/>
      <c r="AW392" s="103"/>
      <c r="AX392" s="103"/>
      <c r="AY392" s="103"/>
      <c r="AZ392" s="103"/>
      <c r="BA392" s="103"/>
      <c r="BB392" s="103"/>
      <c r="BC392" s="103"/>
      <c r="BD392" s="103"/>
      <c r="BE392" s="103"/>
    </row>
    <row r="393" ht="15.75" customHeight="1">
      <c r="A393" s="174"/>
      <c r="B393" s="180"/>
      <c r="C393" s="183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184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  <c r="AS393" s="103"/>
      <c r="AT393" s="103"/>
      <c r="AU393" s="103"/>
      <c r="AV393" s="103"/>
      <c r="AW393" s="103"/>
      <c r="AX393" s="103"/>
      <c r="AY393" s="103"/>
      <c r="AZ393" s="103"/>
      <c r="BA393" s="103"/>
      <c r="BB393" s="103"/>
      <c r="BC393" s="103"/>
      <c r="BD393" s="103"/>
      <c r="BE393" s="103"/>
    </row>
    <row r="394" ht="15.75" customHeight="1">
      <c r="A394" s="174"/>
      <c r="B394" s="180"/>
      <c r="C394" s="183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184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  <c r="AS394" s="103"/>
      <c r="AT394" s="103"/>
      <c r="AU394" s="103"/>
      <c r="AV394" s="103"/>
      <c r="AW394" s="103"/>
      <c r="AX394" s="103"/>
      <c r="AY394" s="103"/>
      <c r="AZ394" s="103"/>
      <c r="BA394" s="103"/>
      <c r="BB394" s="103"/>
      <c r="BC394" s="103"/>
      <c r="BD394" s="103"/>
      <c r="BE394" s="103"/>
    </row>
    <row r="395" ht="15.75" customHeight="1">
      <c r="A395" s="174"/>
      <c r="B395" s="180"/>
      <c r="C395" s="183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184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  <c r="AR395" s="103"/>
      <c r="AS395" s="103"/>
      <c r="AT395" s="103"/>
      <c r="AU395" s="103"/>
      <c r="AV395" s="103"/>
      <c r="AW395" s="103"/>
      <c r="AX395" s="103"/>
      <c r="AY395" s="103"/>
      <c r="AZ395" s="103"/>
      <c r="BA395" s="103"/>
      <c r="BB395" s="103"/>
      <c r="BC395" s="103"/>
      <c r="BD395" s="103"/>
      <c r="BE395" s="103"/>
    </row>
    <row r="396" ht="15.75" customHeight="1">
      <c r="A396" s="174"/>
      <c r="B396" s="180"/>
      <c r="C396" s="183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184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  <c r="AR396" s="103"/>
      <c r="AS396" s="103"/>
      <c r="AT396" s="103"/>
      <c r="AU396" s="103"/>
      <c r="AV396" s="103"/>
      <c r="AW396" s="103"/>
      <c r="AX396" s="103"/>
      <c r="AY396" s="103"/>
      <c r="AZ396" s="103"/>
      <c r="BA396" s="103"/>
      <c r="BB396" s="103"/>
      <c r="BC396" s="103"/>
      <c r="BD396" s="103"/>
      <c r="BE396" s="103"/>
    </row>
    <row r="397" ht="15.75" customHeight="1">
      <c r="A397" s="174"/>
      <c r="B397" s="180"/>
      <c r="C397" s="183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184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  <c r="AV397" s="103"/>
      <c r="AW397" s="103"/>
      <c r="AX397" s="103"/>
      <c r="AY397" s="103"/>
      <c r="AZ397" s="103"/>
      <c r="BA397" s="103"/>
      <c r="BB397" s="103"/>
      <c r="BC397" s="103"/>
      <c r="BD397" s="103"/>
      <c r="BE397" s="103"/>
    </row>
    <row r="398" ht="15.75" customHeight="1">
      <c r="A398" s="174"/>
      <c r="B398" s="180"/>
      <c r="C398" s="183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184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  <c r="AR398" s="103"/>
      <c r="AS398" s="103"/>
      <c r="AT398" s="103"/>
      <c r="AU398" s="103"/>
      <c r="AV398" s="103"/>
      <c r="AW398" s="103"/>
      <c r="AX398" s="103"/>
      <c r="AY398" s="103"/>
      <c r="AZ398" s="103"/>
      <c r="BA398" s="103"/>
      <c r="BB398" s="103"/>
      <c r="BC398" s="103"/>
      <c r="BD398" s="103"/>
      <c r="BE398" s="103"/>
    </row>
    <row r="399" ht="15.75" customHeight="1">
      <c r="A399" s="174"/>
      <c r="B399" s="180"/>
      <c r="C399" s="183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184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  <c r="AV399" s="103"/>
      <c r="AW399" s="103"/>
      <c r="AX399" s="103"/>
      <c r="AY399" s="103"/>
      <c r="AZ399" s="103"/>
      <c r="BA399" s="103"/>
      <c r="BB399" s="103"/>
      <c r="BC399" s="103"/>
      <c r="BD399" s="103"/>
      <c r="BE399" s="103"/>
    </row>
    <row r="400" ht="15.75" customHeight="1">
      <c r="A400" s="174"/>
      <c r="B400" s="180"/>
      <c r="C400" s="183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184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  <c r="AV400" s="103"/>
      <c r="AW400" s="103"/>
      <c r="AX400" s="103"/>
      <c r="AY400" s="103"/>
      <c r="AZ400" s="103"/>
      <c r="BA400" s="103"/>
      <c r="BB400" s="103"/>
      <c r="BC400" s="103"/>
      <c r="BD400" s="103"/>
      <c r="BE400" s="103"/>
    </row>
    <row r="401" ht="15.75" customHeight="1">
      <c r="A401" s="174"/>
      <c r="B401" s="180"/>
      <c r="C401" s="183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184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  <c r="AS401" s="103"/>
      <c r="AT401" s="103"/>
      <c r="AU401" s="103"/>
      <c r="AV401" s="103"/>
      <c r="AW401" s="103"/>
      <c r="AX401" s="103"/>
      <c r="AY401" s="103"/>
      <c r="AZ401" s="103"/>
      <c r="BA401" s="103"/>
      <c r="BB401" s="103"/>
      <c r="BC401" s="103"/>
      <c r="BD401" s="103"/>
      <c r="BE401" s="103"/>
    </row>
    <row r="402" ht="15.75" customHeight="1">
      <c r="A402" s="174"/>
      <c r="B402" s="180"/>
      <c r="C402" s="183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184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  <c r="AR402" s="103"/>
      <c r="AS402" s="103"/>
      <c r="AT402" s="103"/>
      <c r="AU402" s="103"/>
      <c r="AV402" s="103"/>
      <c r="AW402" s="103"/>
      <c r="AX402" s="103"/>
      <c r="AY402" s="103"/>
      <c r="AZ402" s="103"/>
      <c r="BA402" s="103"/>
      <c r="BB402" s="103"/>
      <c r="BC402" s="103"/>
      <c r="BD402" s="103"/>
      <c r="BE402" s="103"/>
    </row>
    <row r="403" ht="15.75" customHeight="1">
      <c r="A403" s="174"/>
      <c r="B403" s="180"/>
      <c r="C403" s="183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184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  <c r="AS403" s="103"/>
      <c r="AT403" s="103"/>
      <c r="AU403" s="103"/>
      <c r="AV403" s="103"/>
      <c r="AW403" s="103"/>
      <c r="AX403" s="103"/>
      <c r="AY403" s="103"/>
      <c r="AZ403" s="103"/>
      <c r="BA403" s="103"/>
      <c r="BB403" s="103"/>
      <c r="BC403" s="103"/>
      <c r="BD403" s="103"/>
      <c r="BE403" s="103"/>
    </row>
    <row r="404" ht="15.75" customHeight="1">
      <c r="A404" s="174"/>
      <c r="B404" s="180"/>
      <c r="C404" s="183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184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  <c r="AV404" s="103"/>
      <c r="AW404" s="103"/>
      <c r="AX404" s="103"/>
      <c r="AY404" s="103"/>
      <c r="AZ404" s="103"/>
      <c r="BA404" s="103"/>
      <c r="BB404" s="103"/>
      <c r="BC404" s="103"/>
      <c r="BD404" s="103"/>
      <c r="BE404" s="103"/>
    </row>
    <row r="405" ht="15.75" customHeight="1">
      <c r="A405" s="174"/>
      <c r="B405" s="180"/>
      <c r="C405" s="183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184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  <c r="AV405" s="103"/>
      <c r="AW405" s="103"/>
      <c r="AX405" s="103"/>
      <c r="AY405" s="103"/>
      <c r="AZ405" s="103"/>
      <c r="BA405" s="103"/>
      <c r="BB405" s="103"/>
      <c r="BC405" s="103"/>
      <c r="BD405" s="103"/>
      <c r="BE405" s="103"/>
    </row>
    <row r="406" ht="15.75" customHeight="1">
      <c r="A406" s="174"/>
      <c r="B406" s="180"/>
      <c r="C406" s="183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184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  <c r="AR406" s="103"/>
      <c r="AS406" s="103"/>
      <c r="AT406" s="103"/>
      <c r="AU406" s="103"/>
      <c r="AV406" s="103"/>
      <c r="AW406" s="103"/>
      <c r="AX406" s="103"/>
      <c r="AY406" s="103"/>
      <c r="AZ406" s="103"/>
      <c r="BA406" s="103"/>
      <c r="BB406" s="103"/>
      <c r="BC406" s="103"/>
      <c r="BD406" s="103"/>
      <c r="BE406" s="103"/>
    </row>
    <row r="407" ht="15.75" customHeight="1">
      <c r="A407" s="174"/>
      <c r="B407" s="180"/>
      <c r="C407" s="183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184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  <c r="AS407" s="103"/>
      <c r="AT407" s="103"/>
      <c r="AU407" s="103"/>
      <c r="AV407" s="103"/>
      <c r="AW407" s="103"/>
      <c r="AX407" s="103"/>
      <c r="AY407" s="103"/>
      <c r="AZ407" s="103"/>
      <c r="BA407" s="103"/>
      <c r="BB407" s="103"/>
      <c r="BC407" s="103"/>
      <c r="BD407" s="103"/>
      <c r="BE407" s="103"/>
    </row>
    <row r="408" ht="15.75" customHeight="1">
      <c r="A408" s="174"/>
      <c r="B408" s="180"/>
      <c r="C408" s="183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184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  <c r="AR408" s="103"/>
      <c r="AS408" s="103"/>
      <c r="AT408" s="103"/>
      <c r="AU408" s="103"/>
      <c r="AV408" s="103"/>
      <c r="AW408" s="103"/>
      <c r="AX408" s="103"/>
      <c r="AY408" s="103"/>
      <c r="AZ408" s="103"/>
      <c r="BA408" s="103"/>
      <c r="BB408" s="103"/>
      <c r="BC408" s="103"/>
      <c r="BD408" s="103"/>
      <c r="BE408" s="103"/>
    </row>
    <row r="409" ht="15.75" customHeight="1">
      <c r="A409" s="174"/>
      <c r="B409" s="180"/>
      <c r="C409" s="183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184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  <c r="AS409" s="103"/>
      <c r="AT409" s="103"/>
      <c r="AU409" s="103"/>
      <c r="AV409" s="103"/>
      <c r="AW409" s="103"/>
      <c r="AX409" s="103"/>
      <c r="AY409" s="103"/>
      <c r="AZ409" s="103"/>
      <c r="BA409" s="103"/>
      <c r="BB409" s="103"/>
      <c r="BC409" s="103"/>
      <c r="BD409" s="103"/>
      <c r="BE409" s="103"/>
    </row>
    <row r="410" ht="15.75" customHeight="1">
      <c r="A410" s="174"/>
      <c r="B410" s="180"/>
      <c r="C410" s="183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184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  <c r="AS410" s="103"/>
      <c r="AT410" s="103"/>
      <c r="AU410" s="103"/>
      <c r="AV410" s="103"/>
      <c r="AW410" s="103"/>
      <c r="AX410" s="103"/>
      <c r="AY410" s="103"/>
      <c r="AZ410" s="103"/>
      <c r="BA410" s="103"/>
      <c r="BB410" s="103"/>
      <c r="BC410" s="103"/>
      <c r="BD410" s="103"/>
      <c r="BE410" s="103"/>
    </row>
    <row r="411" ht="15.75" customHeight="1">
      <c r="A411" s="174"/>
      <c r="B411" s="180"/>
      <c r="C411" s="183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184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  <c r="AS411" s="103"/>
      <c r="AT411" s="103"/>
      <c r="AU411" s="103"/>
      <c r="AV411" s="103"/>
      <c r="AW411" s="103"/>
      <c r="AX411" s="103"/>
      <c r="AY411" s="103"/>
      <c r="AZ411" s="103"/>
      <c r="BA411" s="103"/>
      <c r="BB411" s="103"/>
      <c r="BC411" s="103"/>
      <c r="BD411" s="103"/>
      <c r="BE411" s="103"/>
    </row>
    <row r="412" ht="15.75" customHeight="1">
      <c r="A412" s="174"/>
      <c r="B412" s="180"/>
      <c r="C412" s="183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184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  <c r="AR412" s="103"/>
      <c r="AS412" s="103"/>
      <c r="AT412" s="103"/>
      <c r="AU412" s="103"/>
      <c r="AV412" s="103"/>
      <c r="AW412" s="103"/>
      <c r="AX412" s="103"/>
      <c r="AY412" s="103"/>
      <c r="AZ412" s="103"/>
      <c r="BA412" s="103"/>
      <c r="BB412" s="103"/>
      <c r="BC412" s="103"/>
      <c r="BD412" s="103"/>
      <c r="BE412" s="103"/>
    </row>
    <row r="413" ht="15.75" customHeight="1">
      <c r="A413" s="174"/>
      <c r="B413" s="180"/>
      <c r="C413" s="183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184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  <c r="AS413" s="103"/>
      <c r="AT413" s="103"/>
      <c r="AU413" s="103"/>
      <c r="AV413" s="103"/>
      <c r="AW413" s="103"/>
      <c r="AX413" s="103"/>
      <c r="AY413" s="103"/>
      <c r="AZ413" s="103"/>
      <c r="BA413" s="103"/>
      <c r="BB413" s="103"/>
      <c r="BC413" s="103"/>
      <c r="BD413" s="103"/>
      <c r="BE413" s="103"/>
    </row>
    <row r="414" ht="15.75" customHeight="1">
      <c r="A414" s="174"/>
      <c r="B414" s="180"/>
      <c r="C414" s="183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184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  <c r="AV414" s="103"/>
      <c r="AW414" s="103"/>
      <c r="AX414" s="103"/>
      <c r="AY414" s="103"/>
      <c r="AZ414" s="103"/>
      <c r="BA414" s="103"/>
      <c r="BB414" s="103"/>
      <c r="BC414" s="103"/>
      <c r="BD414" s="103"/>
      <c r="BE414" s="103"/>
    </row>
    <row r="415" ht="15.75" customHeight="1">
      <c r="A415" s="174"/>
      <c r="B415" s="180"/>
      <c r="C415" s="183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184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  <c r="AS415" s="103"/>
      <c r="AT415" s="103"/>
      <c r="AU415" s="103"/>
      <c r="AV415" s="103"/>
      <c r="AW415" s="103"/>
      <c r="AX415" s="103"/>
      <c r="AY415" s="103"/>
      <c r="AZ415" s="103"/>
      <c r="BA415" s="103"/>
      <c r="BB415" s="103"/>
      <c r="BC415" s="103"/>
      <c r="BD415" s="103"/>
      <c r="BE415" s="103"/>
    </row>
    <row r="416" ht="15.75" customHeight="1">
      <c r="A416" s="174"/>
      <c r="B416" s="180"/>
      <c r="C416" s="183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184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  <c r="AR416" s="103"/>
      <c r="AS416" s="103"/>
      <c r="AT416" s="103"/>
      <c r="AU416" s="103"/>
      <c r="AV416" s="103"/>
      <c r="AW416" s="103"/>
      <c r="AX416" s="103"/>
      <c r="AY416" s="103"/>
      <c r="AZ416" s="103"/>
      <c r="BA416" s="103"/>
      <c r="BB416" s="103"/>
      <c r="BC416" s="103"/>
      <c r="BD416" s="103"/>
      <c r="BE416" s="103"/>
    </row>
    <row r="417" ht="15.75" customHeight="1">
      <c r="A417" s="174"/>
      <c r="B417" s="180"/>
      <c r="C417" s="183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184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  <c r="BB417" s="103"/>
      <c r="BC417" s="103"/>
      <c r="BD417" s="103"/>
      <c r="BE417" s="103"/>
    </row>
    <row r="418" ht="15.75" customHeight="1">
      <c r="A418" s="174"/>
      <c r="B418" s="180"/>
      <c r="C418" s="183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184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  <c r="AS418" s="103"/>
      <c r="AT418" s="103"/>
      <c r="AU418" s="103"/>
      <c r="AV418" s="103"/>
      <c r="AW418" s="103"/>
      <c r="AX418" s="103"/>
      <c r="AY418" s="103"/>
      <c r="AZ418" s="103"/>
      <c r="BA418" s="103"/>
      <c r="BB418" s="103"/>
      <c r="BC418" s="103"/>
      <c r="BD418" s="103"/>
      <c r="BE418" s="103"/>
    </row>
    <row r="419" ht="15.75" customHeight="1">
      <c r="A419" s="174"/>
      <c r="B419" s="180"/>
      <c r="C419" s="183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184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  <c r="AV419" s="103"/>
      <c r="AW419" s="103"/>
      <c r="AX419" s="103"/>
      <c r="AY419" s="103"/>
      <c r="AZ419" s="103"/>
      <c r="BA419" s="103"/>
      <c r="BB419" s="103"/>
      <c r="BC419" s="103"/>
      <c r="BD419" s="103"/>
      <c r="BE419" s="103"/>
    </row>
    <row r="420" ht="15.75" customHeight="1">
      <c r="A420" s="174"/>
      <c r="B420" s="180"/>
      <c r="C420" s="183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184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  <c r="AR420" s="103"/>
      <c r="AS420" s="103"/>
      <c r="AT420" s="103"/>
      <c r="AU420" s="103"/>
      <c r="AV420" s="103"/>
      <c r="AW420" s="103"/>
      <c r="AX420" s="103"/>
      <c r="AY420" s="103"/>
      <c r="AZ420" s="103"/>
      <c r="BA420" s="103"/>
      <c r="BB420" s="103"/>
      <c r="BC420" s="103"/>
      <c r="BD420" s="103"/>
      <c r="BE420" s="103"/>
    </row>
    <row r="421" ht="15.75" customHeight="1">
      <c r="A421" s="174"/>
      <c r="B421" s="180"/>
      <c r="C421" s="183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184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  <c r="AR421" s="103"/>
      <c r="AS421" s="103"/>
      <c r="AT421" s="103"/>
      <c r="AU421" s="103"/>
      <c r="AV421" s="103"/>
      <c r="AW421" s="103"/>
      <c r="AX421" s="103"/>
      <c r="AY421" s="103"/>
      <c r="AZ421" s="103"/>
      <c r="BA421" s="103"/>
      <c r="BB421" s="103"/>
      <c r="BC421" s="103"/>
      <c r="BD421" s="103"/>
      <c r="BE421" s="103"/>
    </row>
    <row r="422" ht="15.75" customHeight="1">
      <c r="A422" s="174"/>
      <c r="B422" s="180"/>
      <c r="C422" s="183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184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  <c r="AR422" s="103"/>
      <c r="AS422" s="103"/>
      <c r="AT422" s="103"/>
      <c r="AU422" s="103"/>
      <c r="AV422" s="103"/>
      <c r="AW422" s="103"/>
      <c r="AX422" s="103"/>
      <c r="AY422" s="103"/>
      <c r="AZ422" s="103"/>
      <c r="BA422" s="103"/>
      <c r="BB422" s="103"/>
      <c r="BC422" s="103"/>
      <c r="BD422" s="103"/>
      <c r="BE422" s="103"/>
    </row>
    <row r="423" ht="15.75" customHeight="1">
      <c r="A423" s="174"/>
      <c r="B423" s="180"/>
      <c r="C423" s="183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184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  <c r="AV423" s="103"/>
      <c r="AW423" s="103"/>
      <c r="AX423" s="103"/>
      <c r="AY423" s="103"/>
      <c r="AZ423" s="103"/>
      <c r="BA423" s="103"/>
      <c r="BB423" s="103"/>
      <c r="BC423" s="103"/>
      <c r="BD423" s="103"/>
      <c r="BE423" s="103"/>
    </row>
    <row r="424" ht="15.75" customHeight="1">
      <c r="A424" s="174"/>
      <c r="B424" s="180"/>
      <c r="C424" s="183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184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  <c r="AS424" s="103"/>
      <c r="AT424" s="103"/>
      <c r="AU424" s="103"/>
      <c r="AV424" s="103"/>
      <c r="AW424" s="103"/>
      <c r="AX424" s="103"/>
      <c r="AY424" s="103"/>
      <c r="AZ424" s="103"/>
      <c r="BA424" s="103"/>
      <c r="BB424" s="103"/>
      <c r="BC424" s="103"/>
      <c r="BD424" s="103"/>
      <c r="BE424" s="103"/>
    </row>
    <row r="425" ht="15.75" customHeight="1">
      <c r="A425" s="174"/>
      <c r="B425" s="180"/>
      <c r="C425" s="183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184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  <c r="AS425" s="103"/>
      <c r="AT425" s="103"/>
      <c r="AU425" s="103"/>
      <c r="AV425" s="103"/>
      <c r="AW425" s="103"/>
      <c r="AX425" s="103"/>
      <c r="AY425" s="103"/>
      <c r="AZ425" s="103"/>
      <c r="BA425" s="103"/>
      <c r="BB425" s="103"/>
      <c r="BC425" s="103"/>
      <c r="BD425" s="103"/>
      <c r="BE425" s="103"/>
    </row>
    <row r="426" ht="15.75" customHeight="1">
      <c r="A426" s="174"/>
      <c r="B426" s="180"/>
      <c r="C426" s="183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184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  <c r="AR426" s="103"/>
      <c r="AS426" s="103"/>
      <c r="AT426" s="103"/>
      <c r="AU426" s="103"/>
      <c r="AV426" s="103"/>
      <c r="AW426" s="103"/>
      <c r="AX426" s="103"/>
      <c r="AY426" s="103"/>
      <c r="AZ426" s="103"/>
      <c r="BA426" s="103"/>
      <c r="BB426" s="103"/>
      <c r="BC426" s="103"/>
      <c r="BD426" s="103"/>
      <c r="BE426" s="103"/>
    </row>
    <row r="427" ht="15.75" customHeight="1">
      <c r="A427" s="174"/>
      <c r="B427" s="180"/>
      <c r="C427" s="183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184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  <c r="AS427" s="103"/>
      <c r="AT427" s="103"/>
      <c r="AU427" s="103"/>
      <c r="AV427" s="103"/>
      <c r="AW427" s="103"/>
      <c r="AX427" s="103"/>
      <c r="AY427" s="103"/>
      <c r="AZ427" s="103"/>
      <c r="BA427" s="103"/>
      <c r="BB427" s="103"/>
      <c r="BC427" s="103"/>
      <c r="BD427" s="103"/>
      <c r="BE427" s="103"/>
    </row>
    <row r="428" ht="15.75" customHeight="1">
      <c r="A428" s="174"/>
      <c r="B428" s="180"/>
      <c r="C428" s="183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184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  <c r="AR428" s="103"/>
      <c r="AS428" s="103"/>
      <c r="AT428" s="103"/>
      <c r="AU428" s="103"/>
      <c r="AV428" s="103"/>
      <c r="AW428" s="103"/>
      <c r="AX428" s="103"/>
      <c r="AY428" s="103"/>
      <c r="AZ428" s="103"/>
      <c r="BA428" s="103"/>
      <c r="BB428" s="103"/>
      <c r="BC428" s="103"/>
      <c r="BD428" s="103"/>
      <c r="BE428" s="103"/>
    </row>
    <row r="429" ht="15.75" customHeight="1">
      <c r="A429" s="174"/>
      <c r="B429" s="180"/>
      <c r="C429" s="183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184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  <c r="AS429" s="103"/>
      <c r="AT429" s="103"/>
      <c r="AU429" s="103"/>
      <c r="AV429" s="103"/>
      <c r="AW429" s="103"/>
      <c r="AX429" s="103"/>
      <c r="AY429" s="103"/>
      <c r="AZ429" s="103"/>
      <c r="BA429" s="103"/>
      <c r="BB429" s="103"/>
      <c r="BC429" s="103"/>
      <c r="BD429" s="103"/>
      <c r="BE429" s="103"/>
    </row>
    <row r="430" ht="15.75" customHeight="1">
      <c r="A430" s="174"/>
      <c r="B430" s="180"/>
      <c r="C430" s="183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184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  <c r="AR430" s="103"/>
      <c r="AS430" s="103"/>
      <c r="AT430" s="103"/>
      <c r="AU430" s="103"/>
      <c r="AV430" s="103"/>
      <c r="AW430" s="103"/>
      <c r="AX430" s="103"/>
      <c r="AY430" s="103"/>
      <c r="AZ430" s="103"/>
      <c r="BA430" s="103"/>
      <c r="BB430" s="103"/>
      <c r="BC430" s="103"/>
      <c r="BD430" s="103"/>
      <c r="BE430" s="103"/>
    </row>
    <row r="431" ht="15.75" customHeight="1">
      <c r="A431" s="174"/>
      <c r="B431" s="180"/>
      <c r="C431" s="183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184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  <c r="AS431" s="103"/>
      <c r="AT431" s="103"/>
      <c r="AU431" s="103"/>
      <c r="AV431" s="103"/>
      <c r="AW431" s="103"/>
      <c r="AX431" s="103"/>
      <c r="AY431" s="103"/>
      <c r="AZ431" s="103"/>
      <c r="BA431" s="103"/>
      <c r="BB431" s="103"/>
      <c r="BC431" s="103"/>
      <c r="BD431" s="103"/>
      <c r="BE431" s="103"/>
    </row>
    <row r="432" ht="15.75" customHeight="1">
      <c r="A432" s="174"/>
      <c r="B432" s="180"/>
      <c r="C432" s="183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184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  <c r="AR432" s="103"/>
      <c r="AS432" s="103"/>
      <c r="AT432" s="103"/>
      <c r="AU432" s="103"/>
      <c r="AV432" s="103"/>
      <c r="AW432" s="103"/>
      <c r="AX432" s="103"/>
      <c r="AY432" s="103"/>
      <c r="AZ432" s="103"/>
      <c r="BA432" s="103"/>
      <c r="BB432" s="103"/>
      <c r="BC432" s="103"/>
      <c r="BD432" s="103"/>
      <c r="BE432" s="103"/>
    </row>
    <row r="433" ht="15.75" customHeight="1">
      <c r="A433" s="174"/>
      <c r="B433" s="180"/>
      <c r="C433" s="183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184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  <c r="AS433" s="103"/>
      <c r="AT433" s="103"/>
      <c r="AU433" s="103"/>
      <c r="AV433" s="103"/>
      <c r="AW433" s="103"/>
      <c r="AX433" s="103"/>
      <c r="AY433" s="103"/>
      <c r="AZ433" s="103"/>
      <c r="BA433" s="103"/>
      <c r="BB433" s="103"/>
      <c r="BC433" s="103"/>
      <c r="BD433" s="103"/>
      <c r="BE433" s="103"/>
    </row>
    <row r="434" ht="15.75" customHeight="1">
      <c r="A434" s="174"/>
      <c r="B434" s="180"/>
      <c r="C434" s="183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184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  <c r="AR434" s="103"/>
      <c r="AS434" s="103"/>
      <c r="AT434" s="103"/>
      <c r="AU434" s="103"/>
      <c r="AV434" s="103"/>
      <c r="AW434" s="103"/>
      <c r="AX434" s="103"/>
      <c r="AY434" s="103"/>
      <c r="AZ434" s="103"/>
      <c r="BA434" s="103"/>
      <c r="BB434" s="103"/>
      <c r="BC434" s="103"/>
      <c r="BD434" s="103"/>
      <c r="BE434" s="103"/>
    </row>
    <row r="435" ht="15.75" customHeight="1">
      <c r="A435" s="174"/>
      <c r="B435" s="180"/>
      <c r="C435" s="183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184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  <c r="AS435" s="103"/>
      <c r="AT435" s="103"/>
      <c r="AU435" s="103"/>
      <c r="AV435" s="103"/>
      <c r="AW435" s="103"/>
      <c r="AX435" s="103"/>
      <c r="AY435" s="103"/>
      <c r="AZ435" s="103"/>
      <c r="BA435" s="103"/>
      <c r="BB435" s="103"/>
      <c r="BC435" s="103"/>
      <c r="BD435" s="103"/>
      <c r="BE435" s="103"/>
    </row>
    <row r="436" ht="15.75" customHeight="1">
      <c r="A436" s="174"/>
      <c r="B436" s="180"/>
      <c r="C436" s="183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184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  <c r="AR436" s="103"/>
      <c r="AS436" s="103"/>
      <c r="AT436" s="103"/>
      <c r="AU436" s="103"/>
      <c r="AV436" s="103"/>
      <c r="AW436" s="103"/>
      <c r="AX436" s="103"/>
      <c r="AY436" s="103"/>
      <c r="AZ436" s="103"/>
      <c r="BA436" s="103"/>
      <c r="BB436" s="103"/>
      <c r="BC436" s="103"/>
      <c r="BD436" s="103"/>
      <c r="BE436" s="103"/>
    </row>
    <row r="437" ht="15.75" customHeight="1">
      <c r="A437" s="174"/>
      <c r="B437" s="180"/>
      <c r="C437" s="183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184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/>
      <c r="AX437" s="103"/>
      <c r="AY437" s="103"/>
      <c r="AZ437" s="103"/>
      <c r="BA437" s="103"/>
      <c r="BB437" s="103"/>
      <c r="BC437" s="103"/>
      <c r="BD437" s="103"/>
      <c r="BE437" s="103"/>
    </row>
    <row r="438" ht="15.75" customHeight="1">
      <c r="A438" s="174"/>
      <c r="B438" s="180"/>
      <c r="C438" s="183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184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  <c r="AR438" s="103"/>
      <c r="AS438" s="103"/>
      <c r="AT438" s="103"/>
      <c r="AU438" s="103"/>
      <c r="AV438" s="103"/>
      <c r="AW438" s="103"/>
      <c r="AX438" s="103"/>
      <c r="AY438" s="103"/>
      <c r="AZ438" s="103"/>
      <c r="BA438" s="103"/>
      <c r="BB438" s="103"/>
      <c r="BC438" s="103"/>
      <c r="BD438" s="103"/>
      <c r="BE438" s="103"/>
    </row>
    <row r="439" ht="15.75" customHeight="1">
      <c r="A439" s="174"/>
      <c r="B439" s="180"/>
      <c r="C439" s="183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184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  <c r="AV439" s="103"/>
      <c r="AW439" s="103"/>
      <c r="AX439" s="103"/>
      <c r="AY439" s="103"/>
      <c r="AZ439" s="103"/>
      <c r="BA439" s="103"/>
      <c r="BB439" s="103"/>
      <c r="BC439" s="103"/>
      <c r="BD439" s="103"/>
      <c r="BE439" s="103"/>
    </row>
    <row r="440" ht="15.75" customHeight="1">
      <c r="A440" s="174"/>
      <c r="B440" s="180"/>
      <c r="C440" s="183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184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  <c r="AR440" s="103"/>
      <c r="AS440" s="103"/>
      <c r="AT440" s="103"/>
      <c r="AU440" s="103"/>
      <c r="AV440" s="103"/>
      <c r="AW440" s="103"/>
      <c r="AX440" s="103"/>
      <c r="AY440" s="103"/>
      <c r="AZ440" s="103"/>
      <c r="BA440" s="103"/>
      <c r="BB440" s="103"/>
      <c r="BC440" s="103"/>
      <c r="BD440" s="103"/>
      <c r="BE440" s="103"/>
    </row>
    <row r="441" ht="15.75" customHeight="1">
      <c r="A441" s="174"/>
      <c r="B441" s="180"/>
      <c r="C441" s="183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184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  <c r="AS441" s="103"/>
      <c r="AT441" s="103"/>
      <c r="AU441" s="103"/>
      <c r="AV441" s="103"/>
      <c r="AW441" s="103"/>
      <c r="AX441" s="103"/>
      <c r="AY441" s="103"/>
      <c r="AZ441" s="103"/>
      <c r="BA441" s="103"/>
      <c r="BB441" s="103"/>
      <c r="BC441" s="103"/>
      <c r="BD441" s="103"/>
      <c r="BE441" s="103"/>
    </row>
    <row r="442" ht="15.75" customHeight="1">
      <c r="A442" s="174"/>
      <c r="B442" s="180"/>
      <c r="C442" s="183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184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103"/>
      <c r="AY442" s="103"/>
      <c r="AZ442" s="103"/>
      <c r="BA442" s="103"/>
      <c r="BB442" s="103"/>
      <c r="BC442" s="103"/>
      <c r="BD442" s="103"/>
      <c r="BE442" s="103"/>
    </row>
    <row r="443" ht="15.75" customHeight="1">
      <c r="A443" s="174"/>
      <c r="B443" s="180"/>
      <c r="C443" s="183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184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  <c r="AS443" s="103"/>
      <c r="AT443" s="103"/>
      <c r="AU443" s="103"/>
      <c r="AV443" s="103"/>
      <c r="AW443" s="103"/>
      <c r="AX443" s="103"/>
      <c r="AY443" s="103"/>
      <c r="AZ443" s="103"/>
      <c r="BA443" s="103"/>
      <c r="BB443" s="103"/>
      <c r="BC443" s="103"/>
      <c r="BD443" s="103"/>
      <c r="BE443" s="103"/>
    </row>
    <row r="444" ht="15.75" customHeight="1">
      <c r="A444" s="174"/>
      <c r="B444" s="180"/>
      <c r="C444" s="183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184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  <c r="AR444" s="103"/>
      <c r="AS444" s="103"/>
      <c r="AT444" s="103"/>
      <c r="AU444" s="103"/>
      <c r="AV444" s="103"/>
      <c r="AW444" s="103"/>
      <c r="AX444" s="103"/>
      <c r="AY444" s="103"/>
      <c r="AZ444" s="103"/>
      <c r="BA444" s="103"/>
      <c r="BB444" s="103"/>
      <c r="BC444" s="103"/>
      <c r="BD444" s="103"/>
      <c r="BE444" s="103"/>
    </row>
    <row r="445" ht="15.75" customHeight="1">
      <c r="A445" s="174"/>
      <c r="B445" s="180"/>
      <c r="C445" s="183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184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  <c r="AV445" s="103"/>
      <c r="AW445" s="103"/>
      <c r="AX445" s="103"/>
      <c r="AY445" s="103"/>
      <c r="AZ445" s="103"/>
      <c r="BA445" s="103"/>
      <c r="BB445" s="103"/>
      <c r="BC445" s="103"/>
      <c r="BD445" s="103"/>
      <c r="BE445" s="103"/>
    </row>
    <row r="446" ht="15.75" customHeight="1">
      <c r="A446" s="174"/>
      <c r="B446" s="180"/>
      <c r="C446" s="183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184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  <c r="AR446" s="103"/>
      <c r="AS446" s="103"/>
      <c r="AT446" s="103"/>
      <c r="AU446" s="103"/>
      <c r="AV446" s="103"/>
      <c r="AW446" s="103"/>
      <c r="AX446" s="103"/>
      <c r="AY446" s="103"/>
      <c r="AZ446" s="103"/>
      <c r="BA446" s="103"/>
      <c r="BB446" s="103"/>
      <c r="BC446" s="103"/>
      <c r="BD446" s="103"/>
      <c r="BE446" s="103"/>
    </row>
    <row r="447" ht="15.75" customHeight="1">
      <c r="A447" s="174"/>
      <c r="B447" s="180"/>
      <c r="C447" s="183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184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  <c r="AS447" s="103"/>
      <c r="AT447" s="103"/>
      <c r="AU447" s="103"/>
      <c r="AV447" s="103"/>
      <c r="AW447" s="103"/>
      <c r="AX447" s="103"/>
      <c r="AY447" s="103"/>
      <c r="AZ447" s="103"/>
      <c r="BA447" s="103"/>
      <c r="BB447" s="103"/>
      <c r="BC447" s="103"/>
      <c r="BD447" s="103"/>
      <c r="BE447" s="103"/>
    </row>
    <row r="448" ht="15.75" customHeight="1">
      <c r="A448" s="174"/>
      <c r="B448" s="180"/>
      <c r="C448" s="183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184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  <c r="AR448" s="103"/>
      <c r="AS448" s="103"/>
      <c r="AT448" s="103"/>
      <c r="AU448" s="103"/>
      <c r="AV448" s="103"/>
      <c r="AW448" s="103"/>
      <c r="AX448" s="103"/>
      <c r="AY448" s="103"/>
      <c r="AZ448" s="103"/>
      <c r="BA448" s="103"/>
      <c r="BB448" s="103"/>
      <c r="BC448" s="103"/>
      <c r="BD448" s="103"/>
      <c r="BE448" s="103"/>
    </row>
    <row r="449" ht="15.75" customHeight="1">
      <c r="A449" s="174"/>
      <c r="B449" s="180"/>
      <c r="C449" s="183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184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/>
      <c r="AY449" s="103"/>
      <c r="AZ449" s="103"/>
      <c r="BA449" s="103"/>
      <c r="BB449" s="103"/>
      <c r="BC449" s="103"/>
      <c r="BD449" s="103"/>
      <c r="BE449" s="103"/>
    </row>
    <row r="450" ht="15.75" customHeight="1">
      <c r="A450" s="174"/>
      <c r="B450" s="180"/>
      <c r="C450" s="183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184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  <c r="AS450" s="103"/>
      <c r="AT450" s="103"/>
      <c r="AU450" s="103"/>
      <c r="AV450" s="103"/>
      <c r="AW450" s="103"/>
      <c r="AX450" s="103"/>
      <c r="AY450" s="103"/>
      <c r="AZ450" s="103"/>
      <c r="BA450" s="103"/>
      <c r="BB450" s="103"/>
      <c r="BC450" s="103"/>
      <c r="BD450" s="103"/>
      <c r="BE450" s="103"/>
    </row>
    <row r="451" ht="15.75" customHeight="1">
      <c r="A451" s="174"/>
      <c r="B451" s="180"/>
      <c r="C451" s="183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184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  <c r="AS451" s="103"/>
      <c r="AT451" s="103"/>
      <c r="AU451" s="103"/>
      <c r="AV451" s="103"/>
      <c r="AW451" s="103"/>
      <c r="AX451" s="103"/>
      <c r="AY451" s="103"/>
      <c r="AZ451" s="103"/>
      <c r="BA451" s="103"/>
      <c r="BB451" s="103"/>
      <c r="BC451" s="103"/>
      <c r="BD451" s="103"/>
      <c r="BE451" s="103"/>
    </row>
    <row r="452" ht="15.75" customHeight="1">
      <c r="A452" s="174"/>
      <c r="B452" s="180"/>
      <c r="C452" s="183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184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  <c r="AR452" s="103"/>
      <c r="AS452" s="103"/>
      <c r="AT452" s="103"/>
      <c r="AU452" s="103"/>
      <c r="AV452" s="103"/>
      <c r="AW452" s="103"/>
      <c r="AX452" s="103"/>
      <c r="AY452" s="103"/>
      <c r="AZ452" s="103"/>
      <c r="BA452" s="103"/>
      <c r="BB452" s="103"/>
      <c r="BC452" s="103"/>
      <c r="BD452" s="103"/>
      <c r="BE452" s="103"/>
    </row>
    <row r="453" ht="15.75" customHeight="1">
      <c r="A453" s="174"/>
      <c r="B453" s="180"/>
      <c r="C453" s="183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184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  <c r="AS453" s="103"/>
      <c r="AT453" s="103"/>
      <c r="AU453" s="103"/>
      <c r="AV453" s="103"/>
      <c r="AW453" s="103"/>
      <c r="AX453" s="103"/>
      <c r="AY453" s="103"/>
      <c r="AZ453" s="103"/>
      <c r="BA453" s="103"/>
      <c r="BB453" s="103"/>
      <c r="BC453" s="103"/>
      <c r="BD453" s="103"/>
      <c r="BE453" s="103"/>
    </row>
    <row r="454" ht="15.75" customHeight="1">
      <c r="A454" s="174"/>
      <c r="B454" s="180"/>
      <c r="C454" s="183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184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  <c r="AR454" s="103"/>
      <c r="AS454" s="103"/>
      <c r="AT454" s="103"/>
      <c r="AU454" s="103"/>
      <c r="AV454" s="103"/>
      <c r="AW454" s="103"/>
      <c r="AX454" s="103"/>
      <c r="AY454" s="103"/>
      <c r="AZ454" s="103"/>
      <c r="BA454" s="103"/>
      <c r="BB454" s="103"/>
      <c r="BC454" s="103"/>
      <c r="BD454" s="103"/>
      <c r="BE454" s="103"/>
    </row>
    <row r="455" ht="15.75" customHeight="1">
      <c r="A455" s="174"/>
      <c r="B455" s="180"/>
      <c r="C455" s="183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184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  <c r="AS455" s="103"/>
      <c r="AT455" s="103"/>
      <c r="AU455" s="103"/>
      <c r="AV455" s="103"/>
      <c r="AW455" s="103"/>
      <c r="AX455" s="103"/>
      <c r="AY455" s="103"/>
      <c r="AZ455" s="103"/>
      <c r="BA455" s="103"/>
      <c r="BB455" s="103"/>
      <c r="BC455" s="103"/>
      <c r="BD455" s="103"/>
      <c r="BE455" s="103"/>
    </row>
    <row r="456" ht="15.75" customHeight="1">
      <c r="A456" s="174"/>
      <c r="B456" s="180"/>
      <c r="C456" s="183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184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  <c r="AR456" s="103"/>
      <c r="AS456" s="103"/>
      <c r="AT456" s="103"/>
      <c r="AU456" s="103"/>
      <c r="AV456" s="103"/>
      <c r="AW456" s="103"/>
      <c r="AX456" s="103"/>
      <c r="AY456" s="103"/>
      <c r="AZ456" s="103"/>
      <c r="BA456" s="103"/>
      <c r="BB456" s="103"/>
      <c r="BC456" s="103"/>
      <c r="BD456" s="103"/>
      <c r="BE456" s="103"/>
    </row>
    <row r="457" ht="15.75" customHeight="1">
      <c r="A457" s="174"/>
      <c r="B457" s="180"/>
      <c r="C457" s="183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184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/>
      <c r="AT457" s="103"/>
      <c r="AU457" s="103"/>
      <c r="AV457" s="103"/>
      <c r="AW457" s="103"/>
      <c r="AX457" s="103"/>
      <c r="AY457" s="103"/>
      <c r="AZ457" s="103"/>
      <c r="BA457" s="103"/>
      <c r="BB457" s="103"/>
      <c r="BC457" s="103"/>
      <c r="BD457" s="103"/>
      <c r="BE457" s="103"/>
    </row>
    <row r="458" ht="15.75" customHeight="1">
      <c r="A458" s="174"/>
      <c r="B458" s="180"/>
      <c r="C458" s="183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184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  <c r="AV458" s="103"/>
      <c r="AW458" s="103"/>
      <c r="AX458" s="103"/>
      <c r="AY458" s="103"/>
      <c r="AZ458" s="103"/>
      <c r="BA458" s="103"/>
      <c r="BB458" s="103"/>
      <c r="BC458" s="103"/>
      <c r="BD458" s="103"/>
      <c r="BE458" s="103"/>
    </row>
    <row r="459" ht="15.75" customHeight="1">
      <c r="A459" s="174"/>
      <c r="B459" s="180"/>
      <c r="C459" s="183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184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  <c r="AS459" s="103"/>
      <c r="AT459" s="103"/>
      <c r="AU459" s="103"/>
      <c r="AV459" s="103"/>
      <c r="AW459" s="103"/>
      <c r="AX459" s="103"/>
      <c r="AY459" s="103"/>
      <c r="AZ459" s="103"/>
      <c r="BA459" s="103"/>
      <c r="BB459" s="103"/>
      <c r="BC459" s="103"/>
      <c r="BD459" s="103"/>
      <c r="BE459" s="103"/>
    </row>
    <row r="460" ht="15.75" customHeight="1">
      <c r="A460" s="174"/>
      <c r="B460" s="180"/>
      <c r="C460" s="183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184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  <c r="AR460" s="103"/>
      <c r="AS460" s="103"/>
      <c r="AT460" s="103"/>
      <c r="AU460" s="103"/>
      <c r="AV460" s="103"/>
      <c r="AW460" s="103"/>
      <c r="AX460" s="103"/>
      <c r="AY460" s="103"/>
      <c r="AZ460" s="103"/>
      <c r="BA460" s="103"/>
      <c r="BB460" s="103"/>
      <c r="BC460" s="103"/>
      <c r="BD460" s="103"/>
      <c r="BE460" s="103"/>
    </row>
    <row r="461" ht="15.75" customHeight="1">
      <c r="A461" s="174"/>
      <c r="B461" s="180"/>
      <c r="C461" s="183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184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  <c r="AS461" s="103"/>
      <c r="AT461" s="103"/>
      <c r="AU461" s="103"/>
      <c r="AV461" s="103"/>
      <c r="AW461" s="103"/>
      <c r="AX461" s="103"/>
      <c r="AY461" s="103"/>
      <c r="AZ461" s="103"/>
      <c r="BA461" s="103"/>
      <c r="BB461" s="103"/>
      <c r="BC461" s="103"/>
      <c r="BD461" s="103"/>
      <c r="BE461" s="103"/>
    </row>
    <row r="462" ht="15.75" customHeight="1">
      <c r="A462" s="174"/>
      <c r="B462" s="180"/>
      <c r="C462" s="183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184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  <c r="AR462" s="103"/>
      <c r="AS462" s="103"/>
      <c r="AT462" s="103"/>
      <c r="AU462" s="103"/>
      <c r="AV462" s="103"/>
      <c r="AW462" s="103"/>
      <c r="AX462" s="103"/>
      <c r="AY462" s="103"/>
      <c r="AZ462" s="103"/>
      <c r="BA462" s="103"/>
      <c r="BB462" s="103"/>
      <c r="BC462" s="103"/>
      <c r="BD462" s="103"/>
      <c r="BE462" s="103"/>
    </row>
    <row r="463" ht="15.75" customHeight="1">
      <c r="A463" s="174"/>
      <c r="B463" s="180"/>
      <c r="C463" s="183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184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/>
      <c r="AX463" s="103"/>
      <c r="AY463" s="103"/>
      <c r="AZ463" s="103"/>
      <c r="BA463" s="103"/>
      <c r="BB463" s="103"/>
      <c r="BC463" s="103"/>
      <c r="BD463" s="103"/>
      <c r="BE463" s="103"/>
    </row>
    <row r="464" ht="15.75" customHeight="1">
      <c r="A464" s="174"/>
      <c r="B464" s="180"/>
      <c r="C464" s="183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184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  <c r="AS464" s="103"/>
      <c r="AT464" s="103"/>
      <c r="AU464" s="103"/>
      <c r="AV464" s="103"/>
      <c r="AW464" s="103"/>
      <c r="AX464" s="103"/>
      <c r="AY464" s="103"/>
      <c r="AZ464" s="103"/>
      <c r="BA464" s="103"/>
      <c r="BB464" s="103"/>
      <c r="BC464" s="103"/>
      <c r="BD464" s="103"/>
      <c r="BE464" s="103"/>
    </row>
    <row r="465" ht="15.75" customHeight="1">
      <c r="A465" s="174"/>
      <c r="B465" s="180"/>
      <c r="C465" s="183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184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  <c r="AS465" s="103"/>
      <c r="AT465" s="103"/>
      <c r="AU465" s="103"/>
      <c r="AV465" s="103"/>
      <c r="AW465" s="103"/>
      <c r="AX465" s="103"/>
      <c r="AY465" s="103"/>
      <c r="AZ465" s="103"/>
      <c r="BA465" s="103"/>
      <c r="BB465" s="103"/>
      <c r="BC465" s="103"/>
      <c r="BD465" s="103"/>
      <c r="BE465" s="103"/>
    </row>
    <row r="466" ht="15.75" customHeight="1">
      <c r="A466" s="174"/>
      <c r="B466" s="180"/>
      <c r="C466" s="183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184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  <c r="AR466" s="103"/>
      <c r="AS466" s="103"/>
      <c r="AT466" s="103"/>
      <c r="AU466" s="103"/>
      <c r="AV466" s="103"/>
      <c r="AW466" s="103"/>
      <c r="AX466" s="103"/>
      <c r="AY466" s="103"/>
      <c r="AZ466" s="103"/>
      <c r="BA466" s="103"/>
      <c r="BB466" s="103"/>
      <c r="BC466" s="103"/>
      <c r="BD466" s="103"/>
      <c r="BE466" s="103"/>
    </row>
    <row r="467" ht="15.75" customHeight="1">
      <c r="A467" s="174"/>
      <c r="B467" s="180"/>
      <c r="C467" s="183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184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  <c r="AS467" s="103"/>
      <c r="AT467" s="103"/>
      <c r="AU467" s="103"/>
      <c r="AV467" s="103"/>
      <c r="AW467" s="103"/>
      <c r="AX467" s="103"/>
      <c r="AY467" s="103"/>
      <c r="AZ467" s="103"/>
      <c r="BA467" s="103"/>
      <c r="BB467" s="103"/>
      <c r="BC467" s="103"/>
      <c r="BD467" s="103"/>
      <c r="BE467" s="103"/>
    </row>
    <row r="468" ht="15.75" customHeight="1">
      <c r="A468" s="174"/>
      <c r="B468" s="180"/>
      <c r="C468" s="183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184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  <c r="AR468" s="103"/>
      <c r="AS468" s="103"/>
      <c r="AT468" s="103"/>
      <c r="AU468" s="103"/>
      <c r="AV468" s="103"/>
      <c r="AW468" s="103"/>
      <c r="AX468" s="103"/>
      <c r="AY468" s="103"/>
      <c r="AZ468" s="103"/>
      <c r="BA468" s="103"/>
      <c r="BB468" s="103"/>
      <c r="BC468" s="103"/>
      <c r="BD468" s="103"/>
      <c r="BE468" s="103"/>
    </row>
    <row r="469" ht="15.75" customHeight="1">
      <c r="A469" s="174"/>
      <c r="B469" s="180"/>
      <c r="C469" s="183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184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  <c r="AR469" s="103"/>
      <c r="AS469" s="103"/>
      <c r="AT469" s="103"/>
      <c r="AU469" s="103"/>
      <c r="AV469" s="103"/>
      <c r="AW469" s="103"/>
      <c r="AX469" s="103"/>
      <c r="AY469" s="103"/>
      <c r="AZ469" s="103"/>
      <c r="BA469" s="103"/>
      <c r="BB469" s="103"/>
      <c r="BC469" s="103"/>
      <c r="BD469" s="103"/>
      <c r="BE469" s="103"/>
    </row>
    <row r="470" ht="15.75" customHeight="1">
      <c r="A470" s="174"/>
      <c r="B470" s="180"/>
      <c r="C470" s="183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184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  <c r="AV470" s="103"/>
      <c r="AW470" s="103"/>
      <c r="AX470" s="103"/>
      <c r="AY470" s="103"/>
      <c r="AZ470" s="103"/>
      <c r="BA470" s="103"/>
      <c r="BB470" s="103"/>
      <c r="BC470" s="103"/>
      <c r="BD470" s="103"/>
      <c r="BE470" s="103"/>
    </row>
    <row r="471" ht="15.75" customHeight="1">
      <c r="A471" s="174"/>
      <c r="B471" s="180"/>
      <c r="C471" s="183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184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  <c r="AV471" s="103"/>
      <c r="AW471" s="103"/>
      <c r="AX471" s="103"/>
      <c r="AY471" s="103"/>
      <c r="AZ471" s="103"/>
      <c r="BA471" s="103"/>
      <c r="BB471" s="103"/>
      <c r="BC471" s="103"/>
      <c r="BD471" s="103"/>
      <c r="BE471" s="103"/>
    </row>
    <row r="472" ht="15.75" customHeight="1">
      <c r="A472" s="174"/>
      <c r="B472" s="180"/>
      <c r="C472" s="183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184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  <c r="AR472" s="103"/>
      <c r="AS472" s="103"/>
      <c r="AT472" s="103"/>
      <c r="AU472" s="103"/>
      <c r="AV472" s="103"/>
      <c r="AW472" s="103"/>
      <c r="AX472" s="103"/>
      <c r="AY472" s="103"/>
      <c r="AZ472" s="103"/>
      <c r="BA472" s="103"/>
      <c r="BB472" s="103"/>
      <c r="BC472" s="103"/>
      <c r="BD472" s="103"/>
      <c r="BE472" s="103"/>
    </row>
    <row r="473" ht="15.75" customHeight="1">
      <c r="A473" s="174"/>
      <c r="B473" s="180"/>
      <c r="C473" s="183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184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/>
      <c r="AY473" s="103"/>
      <c r="AZ473" s="103"/>
      <c r="BA473" s="103"/>
      <c r="BB473" s="103"/>
      <c r="BC473" s="103"/>
      <c r="BD473" s="103"/>
      <c r="BE473" s="103"/>
    </row>
    <row r="474" ht="15.75" customHeight="1">
      <c r="A474" s="174"/>
      <c r="B474" s="180"/>
      <c r="C474" s="183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184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</row>
    <row r="475" ht="15.75" customHeight="1">
      <c r="A475" s="174"/>
      <c r="B475" s="180"/>
      <c r="C475" s="183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184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  <c r="AS475" s="103"/>
      <c r="AT475" s="103"/>
      <c r="AU475" s="103"/>
      <c r="AV475" s="103"/>
      <c r="AW475" s="103"/>
      <c r="AX475" s="103"/>
      <c r="AY475" s="103"/>
      <c r="AZ475" s="103"/>
      <c r="BA475" s="103"/>
      <c r="BB475" s="103"/>
      <c r="BC475" s="103"/>
      <c r="BD475" s="103"/>
      <c r="BE475" s="103"/>
    </row>
    <row r="476" ht="15.75" customHeight="1">
      <c r="A476" s="174"/>
      <c r="B476" s="180"/>
      <c r="C476" s="183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184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  <c r="AV476" s="103"/>
      <c r="AW476" s="103"/>
      <c r="AX476" s="103"/>
      <c r="AY476" s="103"/>
      <c r="AZ476" s="103"/>
      <c r="BA476" s="103"/>
      <c r="BB476" s="103"/>
      <c r="BC476" s="103"/>
      <c r="BD476" s="103"/>
      <c r="BE476" s="103"/>
    </row>
    <row r="477" ht="15.75" customHeight="1">
      <c r="A477" s="174"/>
      <c r="B477" s="180"/>
      <c r="C477" s="183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184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  <c r="AS477" s="103"/>
      <c r="AT477" s="103"/>
      <c r="AU477" s="103"/>
      <c r="AV477" s="103"/>
      <c r="AW477" s="103"/>
      <c r="AX477" s="103"/>
      <c r="AY477" s="103"/>
      <c r="AZ477" s="103"/>
      <c r="BA477" s="103"/>
      <c r="BB477" s="103"/>
      <c r="BC477" s="103"/>
      <c r="BD477" s="103"/>
      <c r="BE477" s="103"/>
    </row>
    <row r="478" ht="15.75" customHeight="1">
      <c r="A478" s="174"/>
      <c r="B478" s="180"/>
      <c r="C478" s="183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184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  <c r="AR478" s="103"/>
      <c r="AS478" s="103"/>
      <c r="AT478" s="103"/>
      <c r="AU478" s="103"/>
      <c r="AV478" s="103"/>
      <c r="AW478" s="103"/>
      <c r="AX478" s="103"/>
      <c r="AY478" s="103"/>
      <c r="AZ478" s="103"/>
      <c r="BA478" s="103"/>
      <c r="BB478" s="103"/>
      <c r="BC478" s="103"/>
      <c r="BD478" s="103"/>
      <c r="BE478" s="103"/>
    </row>
    <row r="479" ht="15.75" customHeight="1">
      <c r="A479" s="174"/>
      <c r="B479" s="180"/>
      <c r="C479" s="183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184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  <c r="AS479" s="103"/>
      <c r="AT479" s="103"/>
      <c r="AU479" s="103"/>
      <c r="AV479" s="103"/>
      <c r="AW479" s="103"/>
      <c r="AX479" s="103"/>
      <c r="AY479" s="103"/>
      <c r="AZ479" s="103"/>
      <c r="BA479" s="103"/>
      <c r="BB479" s="103"/>
      <c r="BC479" s="103"/>
      <c r="BD479" s="103"/>
      <c r="BE479" s="103"/>
    </row>
    <row r="480" ht="15.75" customHeight="1">
      <c r="A480" s="174"/>
      <c r="B480" s="180"/>
      <c r="C480" s="183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184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  <c r="AV480" s="103"/>
      <c r="AW480" s="103"/>
      <c r="AX480" s="103"/>
      <c r="AY480" s="103"/>
      <c r="AZ480" s="103"/>
      <c r="BA480" s="103"/>
      <c r="BB480" s="103"/>
      <c r="BC480" s="103"/>
      <c r="BD480" s="103"/>
      <c r="BE480" s="103"/>
    </row>
    <row r="481" ht="15.75" customHeight="1">
      <c r="A481" s="174"/>
      <c r="B481" s="180"/>
      <c r="C481" s="183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184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  <c r="AS481" s="103"/>
      <c r="AT481" s="103"/>
      <c r="AU481" s="103"/>
      <c r="AV481" s="103"/>
      <c r="AW481" s="103"/>
      <c r="AX481" s="103"/>
      <c r="AY481" s="103"/>
      <c r="AZ481" s="103"/>
      <c r="BA481" s="103"/>
      <c r="BB481" s="103"/>
      <c r="BC481" s="103"/>
      <c r="BD481" s="103"/>
      <c r="BE481" s="103"/>
    </row>
    <row r="482" ht="15.75" customHeight="1">
      <c r="A482" s="174"/>
      <c r="B482" s="180"/>
      <c r="C482" s="183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184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  <c r="AR482" s="103"/>
      <c r="AS482" s="103"/>
      <c r="AT482" s="103"/>
      <c r="AU482" s="103"/>
      <c r="AV482" s="103"/>
      <c r="AW482" s="103"/>
      <c r="AX482" s="103"/>
      <c r="AY482" s="103"/>
      <c r="AZ482" s="103"/>
      <c r="BA482" s="103"/>
      <c r="BB482" s="103"/>
      <c r="BC482" s="103"/>
      <c r="BD482" s="103"/>
      <c r="BE482" s="103"/>
    </row>
    <row r="483" ht="15.75" customHeight="1">
      <c r="A483" s="174"/>
      <c r="B483" s="180"/>
      <c r="C483" s="183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184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  <c r="AS483" s="103"/>
      <c r="AT483" s="103"/>
      <c r="AU483" s="103"/>
      <c r="AV483" s="103"/>
      <c r="AW483" s="103"/>
      <c r="AX483" s="103"/>
      <c r="AY483" s="103"/>
      <c r="AZ483" s="103"/>
      <c r="BA483" s="103"/>
      <c r="BB483" s="103"/>
      <c r="BC483" s="103"/>
      <c r="BD483" s="103"/>
      <c r="BE483" s="103"/>
    </row>
    <row r="484" ht="15.75" customHeight="1">
      <c r="A484" s="174"/>
      <c r="B484" s="180"/>
      <c r="C484" s="183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184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  <c r="AR484" s="103"/>
      <c r="AS484" s="103"/>
      <c r="AT484" s="103"/>
      <c r="AU484" s="103"/>
      <c r="AV484" s="103"/>
      <c r="AW484" s="103"/>
      <c r="AX484" s="103"/>
      <c r="AY484" s="103"/>
      <c r="AZ484" s="103"/>
      <c r="BA484" s="103"/>
      <c r="BB484" s="103"/>
      <c r="BC484" s="103"/>
      <c r="BD484" s="103"/>
      <c r="BE484" s="103"/>
    </row>
    <row r="485" ht="15.75" customHeight="1">
      <c r="A485" s="174"/>
      <c r="B485" s="180"/>
      <c r="C485" s="183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184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  <c r="AV485" s="103"/>
      <c r="AW485" s="103"/>
      <c r="AX485" s="103"/>
      <c r="AY485" s="103"/>
      <c r="AZ485" s="103"/>
      <c r="BA485" s="103"/>
      <c r="BB485" s="103"/>
      <c r="BC485" s="103"/>
      <c r="BD485" s="103"/>
      <c r="BE485" s="103"/>
    </row>
    <row r="486" ht="15.75" customHeight="1">
      <c r="A486" s="174"/>
      <c r="B486" s="180"/>
      <c r="C486" s="183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184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  <c r="AS486" s="103"/>
      <c r="AT486" s="103"/>
      <c r="AU486" s="103"/>
      <c r="AV486" s="103"/>
      <c r="AW486" s="103"/>
      <c r="AX486" s="103"/>
      <c r="AY486" s="103"/>
      <c r="AZ486" s="103"/>
      <c r="BA486" s="103"/>
      <c r="BB486" s="103"/>
      <c r="BC486" s="103"/>
      <c r="BD486" s="103"/>
      <c r="BE486" s="103"/>
    </row>
    <row r="487" ht="15.75" customHeight="1">
      <c r="A487" s="174"/>
      <c r="B487" s="180"/>
      <c r="C487" s="183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184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  <c r="AS487" s="103"/>
      <c r="AT487" s="103"/>
      <c r="AU487" s="103"/>
      <c r="AV487" s="103"/>
      <c r="AW487" s="103"/>
      <c r="AX487" s="103"/>
      <c r="AY487" s="103"/>
      <c r="AZ487" s="103"/>
      <c r="BA487" s="103"/>
      <c r="BB487" s="103"/>
      <c r="BC487" s="103"/>
      <c r="BD487" s="103"/>
      <c r="BE487" s="103"/>
    </row>
    <row r="488" ht="15.75" customHeight="1">
      <c r="A488" s="174"/>
      <c r="B488" s="180"/>
      <c r="C488" s="183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184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  <c r="AV488" s="103"/>
      <c r="AW488" s="103"/>
      <c r="AX488" s="103"/>
      <c r="AY488" s="103"/>
      <c r="AZ488" s="103"/>
      <c r="BA488" s="103"/>
      <c r="BB488" s="103"/>
      <c r="BC488" s="103"/>
      <c r="BD488" s="103"/>
      <c r="BE488" s="103"/>
    </row>
    <row r="489" ht="15.75" customHeight="1">
      <c r="A489" s="174"/>
      <c r="B489" s="180"/>
      <c r="C489" s="183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184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  <c r="AS489" s="103"/>
      <c r="AT489" s="103"/>
      <c r="AU489" s="103"/>
      <c r="AV489" s="103"/>
      <c r="AW489" s="103"/>
      <c r="AX489" s="103"/>
      <c r="AY489" s="103"/>
      <c r="AZ489" s="103"/>
      <c r="BA489" s="103"/>
      <c r="BB489" s="103"/>
      <c r="BC489" s="103"/>
      <c r="BD489" s="103"/>
      <c r="BE489" s="103"/>
    </row>
    <row r="490" ht="15.75" customHeight="1">
      <c r="A490" s="174"/>
      <c r="B490" s="180"/>
      <c r="C490" s="183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184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  <c r="AR490" s="103"/>
      <c r="AS490" s="103"/>
      <c r="AT490" s="103"/>
      <c r="AU490" s="103"/>
      <c r="AV490" s="103"/>
      <c r="AW490" s="103"/>
      <c r="AX490" s="103"/>
      <c r="AY490" s="103"/>
      <c r="AZ490" s="103"/>
      <c r="BA490" s="103"/>
      <c r="BB490" s="103"/>
      <c r="BC490" s="103"/>
      <c r="BD490" s="103"/>
      <c r="BE490" s="103"/>
    </row>
    <row r="491" ht="15.75" customHeight="1">
      <c r="A491" s="174"/>
      <c r="B491" s="180"/>
      <c r="C491" s="183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184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  <c r="AS491" s="103"/>
      <c r="AT491" s="103"/>
      <c r="AU491" s="103"/>
      <c r="AV491" s="103"/>
      <c r="AW491" s="103"/>
      <c r="AX491" s="103"/>
      <c r="AY491" s="103"/>
      <c r="AZ491" s="103"/>
      <c r="BA491" s="103"/>
      <c r="BB491" s="103"/>
      <c r="BC491" s="103"/>
      <c r="BD491" s="103"/>
      <c r="BE491" s="103"/>
    </row>
    <row r="492" ht="15.75" customHeight="1">
      <c r="A492" s="174"/>
      <c r="B492" s="180"/>
      <c r="C492" s="183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184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  <c r="AV492" s="103"/>
      <c r="AW492" s="103"/>
      <c r="AX492" s="103"/>
      <c r="AY492" s="103"/>
      <c r="AZ492" s="103"/>
      <c r="BA492" s="103"/>
      <c r="BB492" s="103"/>
      <c r="BC492" s="103"/>
      <c r="BD492" s="103"/>
      <c r="BE492" s="103"/>
    </row>
    <row r="493" ht="15.75" customHeight="1">
      <c r="A493" s="174"/>
      <c r="B493" s="180"/>
      <c r="C493" s="183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184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  <c r="AS493" s="103"/>
      <c r="AT493" s="103"/>
      <c r="AU493" s="103"/>
      <c r="AV493" s="103"/>
      <c r="AW493" s="103"/>
      <c r="AX493" s="103"/>
      <c r="AY493" s="103"/>
      <c r="AZ493" s="103"/>
      <c r="BA493" s="103"/>
      <c r="BB493" s="103"/>
      <c r="BC493" s="103"/>
      <c r="BD493" s="103"/>
      <c r="BE493" s="103"/>
    </row>
    <row r="494" ht="15.75" customHeight="1">
      <c r="A494" s="174"/>
      <c r="B494" s="180"/>
      <c r="C494" s="183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184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  <c r="AS494" s="103"/>
      <c r="AT494" s="103"/>
      <c r="AU494" s="103"/>
      <c r="AV494" s="103"/>
      <c r="AW494" s="103"/>
      <c r="AX494" s="103"/>
      <c r="AY494" s="103"/>
      <c r="AZ494" s="103"/>
      <c r="BA494" s="103"/>
      <c r="BB494" s="103"/>
      <c r="BC494" s="103"/>
      <c r="BD494" s="103"/>
      <c r="BE494" s="103"/>
    </row>
    <row r="495" ht="15.75" customHeight="1">
      <c r="A495" s="174"/>
      <c r="B495" s="180"/>
      <c r="C495" s="183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184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  <c r="AS495" s="103"/>
      <c r="AT495" s="103"/>
      <c r="AU495" s="103"/>
      <c r="AV495" s="103"/>
      <c r="AW495" s="103"/>
      <c r="AX495" s="103"/>
      <c r="AY495" s="103"/>
      <c r="AZ495" s="103"/>
      <c r="BA495" s="103"/>
      <c r="BB495" s="103"/>
      <c r="BC495" s="103"/>
      <c r="BD495" s="103"/>
      <c r="BE495" s="103"/>
    </row>
    <row r="496" ht="15.75" customHeight="1">
      <c r="A496" s="174"/>
      <c r="B496" s="180"/>
      <c r="C496" s="183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184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  <c r="AR496" s="103"/>
      <c r="AS496" s="103"/>
      <c r="AT496" s="103"/>
      <c r="AU496" s="103"/>
      <c r="AV496" s="103"/>
      <c r="AW496" s="103"/>
      <c r="AX496" s="103"/>
      <c r="AY496" s="103"/>
      <c r="AZ496" s="103"/>
      <c r="BA496" s="103"/>
      <c r="BB496" s="103"/>
      <c r="BC496" s="103"/>
      <c r="BD496" s="103"/>
      <c r="BE496" s="103"/>
    </row>
    <row r="497" ht="15.75" customHeight="1">
      <c r="A497" s="174"/>
      <c r="B497" s="180"/>
      <c r="C497" s="183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184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  <c r="AS497" s="103"/>
      <c r="AT497" s="103"/>
      <c r="AU497" s="103"/>
      <c r="AV497" s="103"/>
      <c r="AW497" s="103"/>
      <c r="AX497" s="103"/>
      <c r="AY497" s="103"/>
      <c r="AZ497" s="103"/>
      <c r="BA497" s="103"/>
      <c r="BB497" s="103"/>
      <c r="BC497" s="103"/>
      <c r="BD497" s="103"/>
      <c r="BE497" s="103"/>
    </row>
    <row r="498" ht="15.75" customHeight="1">
      <c r="A498" s="174"/>
      <c r="B498" s="180"/>
      <c r="C498" s="183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184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  <c r="AV498" s="103"/>
      <c r="AW498" s="103"/>
      <c r="AX498" s="103"/>
      <c r="AY498" s="103"/>
      <c r="AZ498" s="103"/>
      <c r="BA498" s="103"/>
      <c r="BB498" s="103"/>
      <c r="BC498" s="103"/>
      <c r="BD498" s="103"/>
      <c r="BE498" s="103"/>
    </row>
    <row r="499" ht="15.75" customHeight="1">
      <c r="A499" s="174"/>
      <c r="B499" s="180"/>
      <c r="C499" s="183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184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  <c r="AS499" s="103"/>
      <c r="AT499" s="103"/>
      <c r="AU499" s="103"/>
      <c r="AV499" s="103"/>
      <c r="AW499" s="103"/>
      <c r="AX499" s="103"/>
      <c r="AY499" s="103"/>
      <c r="AZ499" s="103"/>
      <c r="BA499" s="103"/>
      <c r="BB499" s="103"/>
      <c r="BC499" s="103"/>
      <c r="BD499" s="103"/>
      <c r="BE499" s="103"/>
    </row>
    <row r="500" ht="15.75" customHeight="1">
      <c r="A500" s="174"/>
      <c r="B500" s="180"/>
      <c r="C500" s="183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184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  <c r="AR500" s="103"/>
      <c r="AS500" s="103"/>
      <c r="AT500" s="103"/>
      <c r="AU500" s="103"/>
      <c r="AV500" s="103"/>
      <c r="AW500" s="103"/>
      <c r="AX500" s="103"/>
      <c r="AY500" s="103"/>
      <c r="AZ500" s="103"/>
      <c r="BA500" s="103"/>
      <c r="BB500" s="103"/>
      <c r="BC500" s="103"/>
      <c r="BD500" s="103"/>
      <c r="BE500" s="103"/>
    </row>
    <row r="501" ht="15.75" customHeight="1">
      <c r="A501" s="174"/>
      <c r="B501" s="180"/>
      <c r="C501" s="183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184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  <c r="AS501" s="103"/>
      <c r="AT501" s="103"/>
      <c r="AU501" s="103"/>
      <c r="AV501" s="103"/>
      <c r="AW501" s="103"/>
      <c r="AX501" s="103"/>
      <c r="AY501" s="103"/>
      <c r="AZ501" s="103"/>
      <c r="BA501" s="103"/>
      <c r="BB501" s="103"/>
      <c r="BC501" s="103"/>
      <c r="BD501" s="103"/>
      <c r="BE501" s="103"/>
    </row>
    <row r="502" ht="15.75" customHeight="1">
      <c r="A502" s="174"/>
      <c r="B502" s="180"/>
      <c r="C502" s="183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184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  <c r="AR502" s="103"/>
      <c r="AS502" s="103"/>
      <c r="AT502" s="103"/>
      <c r="AU502" s="103"/>
      <c r="AV502" s="103"/>
      <c r="AW502" s="103"/>
      <c r="AX502" s="103"/>
      <c r="AY502" s="103"/>
      <c r="AZ502" s="103"/>
      <c r="BA502" s="103"/>
      <c r="BB502" s="103"/>
      <c r="BC502" s="103"/>
      <c r="BD502" s="103"/>
      <c r="BE502" s="103"/>
    </row>
    <row r="503" ht="15.75" customHeight="1">
      <c r="A503" s="174"/>
      <c r="B503" s="180"/>
      <c r="C503" s="183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184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  <c r="AV503" s="103"/>
      <c r="AW503" s="103"/>
      <c r="AX503" s="103"/>
      <c r="AY503" s="103"/>
      <c r="AZ503" s="103"/>
      <c r="BA503" s="103"/>
      <c r="BB503" s="103"/>
      <c r="BC503" s="103"/>
      <c r="BD503" s="103"/>
      <c r="BE503" s="103"/>
    </row>
    <row r="504" ht="15.75" customHeight="1">
      <c r="A504" s="174"/>
      <c r="B504" s="180"/>
      <c r="C504" s="183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184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  <c r="AV504" s="103"/>
      <c r="AW504" s="103"/>
      <c r="AX504" s="103"/>
      <c r="AY504" s="103"/>
      <c r="AZ504" s="103"/>
      <c r="BA504" s="103"/>
      <c r="BB504" s="103"/>
      <c r="BC504" s="103"/>
      <c r="BD504" s="103"/>
      <c r="BE504" s="103"/>
    </row>
    <row r="505" ht="15.75" customHeight="1">
      <c r="A505" s="174"/>
      <c r="B505" s="180"/>
      <c r="C505" s="183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184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  <c r="AS505" s="103"/>
      <c r="AT505" s="103"/>
      <c r="AU505" s="103"/>
      <c r="AV505" s="103"/>
      <c r="AW505" s="103"/>
      <c r="AX505" s="103"/>
      <c r="AY505" s="103"/>
      <c r="AZ505" s="103"/>
      <c r="BA505" s="103"/>
      <c r="BB505" s="103"/>
      <c r="BC505" s="103"/>
      <c r="BD505" s="103"/>
      <c r="BE505" s="103"/>
    </row>
    <row r="506" ht="15.75" customHeight="1">
      <c r="A506" s="174"/>
      <c r="B506" s="180"/>
      <c r="C506" s="183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184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  <c r="AR506" s="103"/>
      <c r="AS506" s="103"/>
      <c r="AT506" s="103"/>
      <c r="AU506" s="103"/>
      <c r="AV506" s="103"/>
      <c r="AW506" s="103"/>
      <c r="AX506" s="103"/>
      <c r="AY506" s="103"/>
      <c r="AZ506" s="103"/>
      <c r="BA506" s="103"/>
      <c r="BB506" s="103"/>
      <c r="BC506" s="103"/>
      <c r="BD506" s="103"/>
      <c r="BE506" s="103"/>
    </row>
    <row r="507" ht="15.75" customHeight="1">
      <c r="A507" s="174"/>
      <c r="B507" s="180"/>
      <c r="C507" s="183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184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  <c r="AS507" s="103"/>
      <c r="AT507" s="103"/>
      <c r="AU507" s="103"/>
      <c r="AV507" s="103"/>
      <c r="AW507" s="103"/>
      <c r="AX507" s="103"/>
      <c r="AY507" s="103"/>
      <c r="AZ507" s="103"/>
      <c r="BA507" s="103"/>
      <c r="BB507" s="103"/>
      <c r="BC507" s="103"/>
      <c r="BD507" s="103"/>
      <c r="BE507" s="103"/>
    </row>
    <row r="508" ht="15.75" customHeight="1">
      <c r="A508" s="174"/>
      <c r="B508" s="180"/>
      <c r="C508" s="183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184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  <c r="AR508" s="103"/>
      <c r="AS508" s="103"/>
      <c r="AT508" s="103"/>
      <c r="AU508" s="103"/>
      <c r="AV508" s="103"/>
      <c r="AW508" s="103"/>
      <c r="AX508" s="103"/>
      <c r="AY508" s="103"/>
      <c r="AZ508" s="103"/>
      <c r="BA508" s="103"/>
      <c r="BB508" s="103"/>
      <c r="BC508" s="103"/>
      <c r="BD508" s="103"/>
      <c r="BE508" s="103"/>
    </row>
    <row r="509" ht="15.75" customHeight="1">
      <c r="A509" s="174"/>
      <c r="B509" s="180"/>
      <c r="C509" s="183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184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  <c r="AS509" s="103"/>
      <c r="AT509" s="103"/>
      <c r="AU509" s="103"/>
      <c r="AV509" s="103"/>
      <c r="AW509" s="103"/>
      <c r="AX509" s="103"/>
      <c r="AY509" s="103"/>
      <c r="AZ509" s="103"/>
      <c r="BA509" s="103"/>
      <c r="BB509" s="103"/>
      <c r="BC509" s="103"/>
      <c r="BD509" s="103"/>
      <c r="BE509" s="103"/>
    </row>
    <row r="510" ht="15.75" customHeight="1">
      <c r="A510" s="174"/>
      <c r="B510" s="180"/>
      <c r="C510" s="183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184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  <c r="AS510" s="103"/>
      <c r="AT510" s="103"/>
      <c r="AU510" s="103"/>
      <c r="AV510" s="103"/>
      <c r="AW510" s="103"/>
      <c r="AX510" s="103"/>
      <c r="AY510" s="103"/>
      <c r="AZ510" s="103"/>
      <c r="BA510" s="103"/>
      <c r="BB510" s="103"/>
      <c r="BC510" s="103"/>
      <c r="BD510" s="103"/>
      <c r="BE510" s="103"/>
    </row>
    <row r="511" ht="15.75" customHeight="1">
      <c r="A511" s="174"/>
      <c r="B511" s="180"/>
      <c r="C511" s="183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184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  <c r="AS511" s="103"/>
      <c r="AT511" s="103"/>
      <c r="AU511" s="103"/>
      <c r="AV511" s="103"/>
      <c r="AW511" s="103"/>
      <c r="AX511" s="103"/>
      <c r="AY511" s="103"/>
      <c r="AZ511" s="103"/>
      <c r="BA511" s="103"/>
      <c r="BB511" s="103"/>
      <c r="BC511" s="103"/>
      <c r="BD511" s="103"/>
      <c r="BE511" s="103"/>
    </row>
    <row r="512" ht="15.75" customHeight="1">
      <c r="A512" s="174"/>
      <c r="B512" s="180"/>
      <c r="C512" s="183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184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  <c r="AR512" s="103"/>
      <c r="AS512" s="103"/>
      <c r="AT512" s="103"/>
      <c r="AU512" s="103"/>
      <c r="AV512" s="103"/>
      <c r="AW512" s="103"/>
      <c r="AX512" s="103"/>
      <c r="AY512" s="103"/>
      <c r="AZ512" s="103"/>
      <c r="BA512" s="103"/>
      <c r="BB512" s="103"/>
      <c r="BC512" s="103"/>
      <c r="BD512" s="103"/>
      <c r="BE512" s="103"/>
    </row>
    <row r="513" ht="15.75" customHeight="1">
      <c r="A513" s="174"/>
      <c r="B513" s="180"/>
      <c r="C513" s="183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184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  <c r="BB513" s="103"/>
      <c r="BC513" s="103"/>
      <c r="BD513" s="103"/>
      <c r="BE513" s="103"/>
    </row>
    <row r="514" ht="15.75" customHeight="1">
      <c r="A514" s="174"/>
      <c r="B514" s="180"/>
      <c r="C514" s="183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184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  <c r="AR514" s="103"/>
      <c r="AS514" s="103"/>
      <c r="AT514" s="103"/>
      <c r="AU514" s="103"/>
      <c r="AV514" s="103"/>
      <c r="AW514" s="103"/>
      <c r="AX514" s="103"/>
      <c r="AY514" s="103"/>
      <c r="AZ514" s="103"/>
      <c r="BA514" s="103"/>
      <c r="BB514" s="103"/>
      <c r="BC514" s="103"/>
      <c r="BD514" s="103"/>
      <c r="BE514" s="103"/>
    </row>
    <row r="515" ht="15.75" customHeight="1">
      <c r="A515" s="174"/>
      <c r="B515" s="180"/>
      <c r="C515" s="183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184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  <c r="AV515" s="103"/>
      <c r="AW515" s="103"/>
      <c r="AX515" s="103"/>
      <c r="AY515" s="103"/>
      <c r="AZ515" s="103"/>
      <c r="BA515" s="103"/>
      <c r="BB515" s="103"/>
      <c r="BC515" s="103"/>
      <c r="BD515" s="103"/>
      <c r="BE515" s="103"/>
    </row>
    <row r="516" ht="15.75" customHeight="1">
      <c r="A516" s="174"/>
      <c r="B516" s="180"/>
      <c r="C516" s="183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184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  <c r="AS516" s="103"/>
      <c r="AT516" s="103"/>
      <c r="AU516" s="103"/>
      <c r="AV516" s="103"/>
      <c r="AW516" s="103"/>
      <c r="AX516" s="103"/>
      <c r="AY516" s="103"/>
      <c r="AZ516" s="103"/>
      <c r="BA516" s="103"/>
      <c r="BB516" s="103"/>
      <c r="BC516" s="103"/>
      <c r="BD516" s="103"/>
      <c r="BE516" s="103"/>
    </row>
    <row r="517" ht="15.75" customHeight="1">
      <c r="A517" s="174"/>
      <c r="B517" s="180"/>
      <c r="C517" s="183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184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  <c r="AV517" s="103"/>
      <c r="AW517" s="103"/>
      <c r="AX517" s="103"/>
      <c r="AY517" s="103"/>
      <c r="AZ517" s="103"/>
      <c r="BA517" s="103"/>
      <c r="BB517" s="103"/>
      <c r="BC517" s="103"/>
      <c r="BD517" s="103"/>
      <c r="BE517" s="103"/>
    </row>
    <row r="518" ht="15.75" customHeight="1">
      <c r="A518" s="174"/>
      <c r="B518" s="180"/>
      <c r="C518" s="183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184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  <c r="AS518" s="103"/>
      <c r="AT518" s="103"/>
      <c r="AU518" s="103"/>
      <c r="AV518" s="103"/>
      <c r="AW518" s="103"/>
      <c r="AX518" s="103"/>
      <c r="AY518" s="103"/>
      <c r="AZ518" s="103"/>
      <c r="BA518" s="103"/>
      <c r="BB518" s="103"/>
      <c r="BC518" s="103"/>
      <c r="BD518" s="103"/>
      <c r="BE518" s="103"/>
    </row>
    <row r="519" ht="15.75" customHeight="1">
      <c r="A519" s="174"/>
      <c r="B519" s="180"/>
      <c r="C519" s="183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184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  <c r="AS519" s="103"/>
      <c r="AT519" s="103"/>
      <c r="AU519" s="103"/>
      <c r="AV519" s="103"/>
      <c r="AW519" s="103"/>
      <c r="AX519" s="103"/>
      <c r="AY519" s="103"/>
      <c r="AZ519" s="103"/>
      <c r="BA519" s="103"/>
      <c r="BB519" s="103"/>
      <c r="BC519" s="103"/>
      <c r="BD519" s="103"/>
      <c r="BE519" s="103"/>
    </row>
    <row r="520" ht="15.75" customHeight="1">
      <c r="A520" s="174"/>
      <c r="B520" s="180"/>
      <c r="C520" s="183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184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  <c r="AR520" s="103"/>
      <c r="AS520" s="103"/>
      <c r="AT520" s="103"/>
      <c r="AU520" s="103"/>
      <c r="AV520" s="103"/>
      <c r="AW520" s="103"/>
      <c r="AX520" s="103"/>
      <c r="AY520" s="103"/>
      <c r="AZ520" s="103"/>
      <c r="BA520" s="103"/>
      <c r="BB520" s="103"/>
      <c r="BC520" s="103"/>
      <c r="BD520" s="103"/>
      <c r="BE520" s="103"/>
    </row>
    <row r="521" ht="15.75" customHeight="1">
      <c r="A521" s="174"/>
      <c r="B521" s="180"/>
      <c r="C521" s="183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184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  <c r="AS521" s="103"/>
      <c r="AT521" s="103"/>
      <c r="AU521" s="103"/>
      <c r="AV521" s="103"/>
      <c r="AW521" s="103"/>
      <c r="AX521" s="103"/>
      <c r="AY521" s="103"/>
      <c r="AZ521" s="103"/>
      <c r="BA521" s="103"/>
      <c r="BB521" s="103"/>
      <c r="BC521" s="103"/>
      <c r="BD521" s="103"/>
      <c r="BE521" s="103"/>
    </row>
    <row r="522" ht="15.75" customHeight="1">
      <c r="A522" s="174"/>
      <c r="B522" s="180"/>
      <c r="C522" s="183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184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  <c r="AR522" s="103"/>
      <c r="AS522" s="103"/>
      <c r="AT522" s="103"/>
      <c r="AU522" s="103"/>
      <c r="AV522" s="103"/>
      <c r="AW522" s="103"/>
      <c r="AX522" s="103"/>
      <c r="AY522" s="103"/>
      <c r="AZ522" s="103"/>
      <c r="BA522" s="103"/>
      <c r="BB522" s="103"/>
      <c r="BC522" s="103"/>
      <c r="BD522" s="103"/>
      <c r="BE522" s="103"/>
    </row>
    <row r="523" ht="15.75" customHeight="1">
      <c r="A523" s="174"/>
      <c r="B523" s="180"/>
      <c r="C523" s="183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184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  <c r="AS523" s="103"/>
      <c r="AT523" s="103"/>
      <c r="AU523" s="103"/>
      <c r="AV523" s="103"/>
      <c r="AW523" s="103"/>
      <c r="AX523" s="103"/>
      <c r="AY523" s="103"/>
      <c r="AZ523" s="103"/>
      <c r="BA523" s="103"/>
      <c r="BB523" s="103"/>
      <c r="BC523" s="103"/>
      <c r="BD523" s="103"/>
      <c r="BE523" s="103"/>
    </row>
    <row r="524" ht="15.75" customHeight="1">
      <c r="A524" s="174"/>
      <c r="B524" s="180"/>
      <c r="C524" s="183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184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  <c r="AR524" s="103"/>
      <c r="AS524" s="103"/>
      <c r="AT524" s="103"/>
      <c r="AU524" s="103"/>
      <c r="AV524" s="103"/>
      <c r="AW524" s="103"/>
      <c r="AX524" s="103"/>
      <c r="AY524" s="103"/>
      <c r="AZ524" s="103"/>
      <c r="BA524" s="103"/>
      <c r="BB524" s="103"/>
      <c r="BC524" s="103"/>
      <c r="BD524" s="103"/>
      <c r="BE524" s="103"/>
    </row>
    <row r="525" ht="15.75" customHeight="1">
      <c r="A525" s="174"/>
      <c r="B525" s="180"/>
      <c r="C525" s="183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184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  <c r="AS525" s="103"/>
      <c r="AT525" s="103"/>
      <c r="AU525" s="103"/>
      <c r="AV525" s="103"/>
      <c r="AW525" s="103"/>
      <c r="AX525" s="103"/>
      <c r="AY525" s="103"/>
      <c r="AZ525" s="103"/>
      <c r="BA525" s="103"/>
      <c r="BB525" s="103"/>
      <c r="BC525" s="103"/>
      <c r="BD525" s="103"/>
      <c r="BE525" s="103"/>
    </row>
    <row r="526" ht="15.75" customHeight="1">
      <c r="A526" s="174"/>
      <c r="B526" s="180"/>
      <c r="C526" s="183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184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  <c r="AR526" s="103"/>
      <c r="AS526" s="103"/>
      <c r="AT526" s="103"/>
      <c r="AU526" s="103"/>
      <c r="AV526" s="103"/>
      <c r="AW526" s="103"/>
      <c r="AX526" s="103"/>
      <c r="AY526" s="103"/>
      <c r="AZ526" s="103"/>
      <c r="BA526" s="103"/>
      <c r="BB526" s="103"/>
      <c r="BC526" s="103"/>
      <c r="BD526" s="103"/>
      <c r="BE526" s="103"/>
    </row>
    <row r="527" ht="15.75" customHeight="1">
      <c r="A527" s="174"/>
      <c r="B527" s="180"/>
      <c r="C527" s="183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184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  <c r="AS527" s="103"/>
      <c r="AT527" s="103"/>
      <c r="AU527" s="103"/>
      <c r="AV527" s="103"/>
      <c r="AW527" s="103"/>
      <c r="AX527" s="103"/>
      <c r="AY527" s="103"/>
      <c r="AZ527" s="103"/>
      <c r="BA527" s="103"/>
      <c r="BB527" s="103"/>
      <c r="BC527" s="103"/>
      <c r="BD527" s="103"/>
      <c r="BE527" s="103"/>
    </row>
    <row r="528" ht="15.75" customHeight="1">
      <c r="A528" s="174"/>
      <c r="B528" s="180"/>
      <c r="C528" s="183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184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  <c r="AR528" s="103"/>
      <c r="AS528" s="103"/>
      <c r="AT528" s="103"/>
      <c r="AU528" s="103"/>
      <c r="AV528" s="103"/>
      <c r="AW528" s="103"/>
      <c r="AX528" s="103"/>
      <c r="AY528" s="103"/>
      <c r="AZ528" s="103"/>
      <c r="BA528" s="103"/>
      <c r="BB528" s="103"/>
      <c r="BC528" s="103"/>
      <c r="BD528" s="103"/>
      <c r="BE528" s="103"/>
    </row>
    <row r="529" ht="15.75" customHeight="1">
      <c r="A529" s="174"/>
      <c r="B529" s="180"/>
      <c r="C529" s="183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184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  <c r="AS529" s="103"/>
      <c r="AT529" s="103"/>
      <c r="AU529" s="103"/>
      <c r="AV529" s="103"/>
      <c r="AW529" s="103"/>
      <c r="AX529" s="103"/>
      <c r="AY529" s="103"/>
      <c r="AZ529" s="103"/>
      <c r="BA529" s="103"/>
      <c r="BB529" s="103"/>
      <c r="BC529" s="103"/>
      <c r="BD529" s="103"/>
      <c r="BE529" s="103"/>
    </row>
    <row r="530" ht="15.75" customHeight="1">
      <c r="A530" s="174"/>
      <c r="B530" s="180"/>
      <c r="C530" s="183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184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  <c r="AR530" s="103"/>
      <c r="AS530" s="103"/>
      <c r="AT530" s="103"/>
      <c r="AU530" s="103"/>
      <c r="AV530" s="103"/>
      <c r="AW530" s="103"/>
      <c r="AX530" s="103"/>
      <c r="AY530" s="103"/>
      <c r="AZ530" s="103"/>
      <c r="BA530" s="103"/>
      <c r="BB530" s="103"/>
      <c r="BC530" s="103"/>
      <c r="BD530" s="103"/>
      <c r="BE530" s="103"/>
    </row>
    <row r="531" ht="15.75" customHeight="1">
      <c r="A531" s="174"/>
      <c r="B531" s="180"/>
      <c r="C531" s="183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184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  <c r="AS531" s="103"/>
      <c r="AT531" s="103"/>
      <c r="AU531" s="103"/>
      <c r="AV531" s="103"/>
      <c r="AW531" s="103"/>
      <c r="AX531" s="103"/>
      <c r="AY531" s="103"/>
      <c r="AZ531" s="103"/>
      <c r="BA531" s="103"/>
      <c r="BB531" s="103"/>
      <c r="BC531" s="103"/>
      <c r="BD531" s="103"/>
      <c r="BE531" s="103"/>
    </row>
    <row r="532" ht="15.75" customHeight="1">
      <c r="A532" s="174"/>
      <c r="B532" s="180"/>
      <c r="C532" s="183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184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  <c r="AS532" s="103"/>
      <c r="AT532" s="103"/>
      <c r="AU532" s="103"/>
      <c r="AV532" s="103"/>
      <c r="AW532" s="103"/>
      <c r="AX532" s="103"/>
      <c r="AY532" s="103"/>
      <c r="AZ532" s="103"/>
      <c r="BA532" s="103"/>
      <c r="BB532" s="103"/>
      <c r="BC532" s="103"/>
      <c r="BD532" s="103"/>
      <c r="BE532" s="103"/>
    </row>
    <row r="533" ht="15.75" customHeight="1">
      <c r="A533" s="174"/>
      <c r="B533" s="180"/>
      <c r="C533" s="183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184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  <c r="AS533" s="103"/>
      <c r="AT533" s="103"/>
      <c r="AU533" s="103"/>
      <c r="AV533" s="103"/>
      <c r="AW533" s="103"/>
      <c r="AX533" s="103"/>
      <c r="AY533" s="103"/>
      <c r="AZ533" s="103"/>
      <c r="BA533" s="103"/>
      <c r="BB533" s="103"/>
      <c r="BC533" s="103"/>
      <c r="BD533" s="103"/>
      <c r="BE533" s="103"/>
    </row>
    <row r="534" ht="15.75" customHeight="1">
      <c r="A534" s="174"/>
      <c r="B534" s="180"/>
      <c r="C534" s="183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184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  <c r="AR534" s="103"/>
      <c r="AS534" s="103"/>
      <c r="AT534" s="103"/>
      <c r="AU534" s="103"/>
      <c r="AV534" s="103"/>
      <c r="AW534" s="103"/>
      <c r="AX534" s="103"/>
      <c r="AY534" s="103"/>
      <c r="AZ534" s="103"/>
      <c r="BA534" s="103"/>
      <c r="BB534" s="103"/>
      <c r="BC534" s="103"/>
      <c r="BD534" s="103"/>
      <c r="BE534" s="103"/>
    </row>
    <row r="535" ht="15.75" customHeight="1">
      <c r="A535" s="174"/>
      <c r="B535" s="180"/>
      <c r="C535" s="183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184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  <c r="AS535" s="103"/>
      <c r="AT535" s="103"/>
      <c r="AU535" s="103"/>
      <c r="AV535" s="103"/>
      <c r="AW535" s="103"/>
      <c r="AX535" s="103"/>
      <c r="AY535" s="103"/>
      <c r="AZ535" s="103"/>
      <c r="BA535" s="103"/>
      <c r="BB535" s="103"/>
      <c r="BC535" s="103"/>
      <c r="BD535" s="103"/>
      <c r="BE535" s="103"/>
    </row>
    <row r="536" ht="15.75" customHeight="1">
      <c r="A536" s="174"/>
      <c r="B536" s="180"/>
      <c r="C536" s="183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184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  <c r="AR536" s="103"/>
      <c r="AS536" s="103"/>
      <c r="AT536" s="103"/>
      <c r="AU536" s="103"/>
      <c r="AV536" s="103"/>
      <c r="AW536" s="103"/>
      <c r="AX536" s="103"/>
      <c r="AY536" s="103"/>
      <c r="AZ536" s="103"/>
      <c r="BA536" s="103"/>
      <c r="BB536" s="103"/>
      <c r="BC536" s="103"/>
      <c r="BD536" s="103"/>
      <c r="BE536" s="103"/>
    </row>
    <row r="537" ht="15.75" customHeight="1">
      <c r="A537" s="174"/>
      <c r="B537" s="180"/>
      <c r="C537" s="183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184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  <c r="AS537" s="103"/>
      <c r="AT537" s="103"/>
      <c r="AU537" s="103"/>
      <c r="AV537" s="103"/>
      <c r="AW537" s="103"/>
      <c r="AX537" s="103"/>
      <c r="AY537" s="103"/>
      <c r="AZ537" s="103"/>
      <c r="BA537" s="103"/>
      <c r="BB537" s="103"/>
      <c r="BC537" s="103"/>
      <c r="BD537" s="103"/>
      <c r="BE537" s="103"/>
    </row>
    <row r="538" ht="15.75" customHeight="1">
      <c r="A538" s="174"/>
      <c r="B538" s="180"/>
      <c r="C538" s="183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184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  <c r="AR538" s="103"/>
      <c r="AS538" s="103"/>
      <c r="AT538" s="103"/>
      <c r="AU538" s="103"/>
      <c r="AV538" s="103"/>
      <c r="AW538" s="103"/>
      <c r="AX538" s="103"/>
      <c r="AY538" s="103"/>
      <c r="AZ538" s="103"/>
      <c r="BA538" s="103"/>
      <c r="BB538" s="103"/>
      <c r="BC538" s="103"/>
      <c r="BD538" s="103"/>
      <c r="BE538" s="103"/>
    </row>
    <row r="539" ht="15.75" customHeight="1">
      <c r="A539" s="174"/>
      <c r="B539" s="180"/>
      <c r="C539" s="183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184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  <c r="AS539" s="103"/>
      <c r="AT539" s="103"/>
      <c r="AU539" s="103"/>
      <c r="AV539" s="103"/>
      <c r="AW539" s="103"/>
      <c r="AX539" s="103"/>
      <c r="AY539" s="103"/>
      <c r="AZ539" s="103"/>
      <c r="BA539" s="103"/>
      <c r="BB539" s="103"/>
      <c r="BC539" s="103"/>
      <c r="BD539" s="103"/>
      <c r="BE539" s="103"/>
    </row>
    <row r="540" ht="15.75" customHeight="1">
      <c r="A540" s="174"/>
      <c r="B540" s="180"/>
      <c r="C540" s="183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184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  <c r="AR540" s="103"/>
      <c r="AS540" s="103"/>
      <c r="AT540" s="103"/>
      <c r="AU540" s="103"/>
      <c r="AV540" s="103"/>
      <c r="AW540" s="103"/>
      <c r="AX540" s="103"/>
      <c r="AY540" s="103"/>
      <c r="AZ540" s="103"/>
      <c r="BA540" s="103"/>
      <c r="BB540" s="103"/>
      <c r="BC540" s="103"/>
      <c r="BD540" s="103"/>
      <c r="BE540" s="103"/>
    </row>
    <row r="541" ht="15.75" customHeight="1">
      <c r="A541" s="174"/>
      <c r="B541" s="180"/>
      <c r="C541" s="183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184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  <c r="AS541" s="103"/>
      <c r="AT541" s="103"/>
      <c r="AU541" s="103"/>
      <c r="AV541" s="103"/>
      <c r="AW541" s="103"/>
      <c r="AX541" s="103"/>
      <c r="AY541" s="103"/>
      <c r="AZ541" s="103"/>
      <c r="BA541" s="103"/>
      <c r="BB541" s="103"/>
      <c r="BC541" s="103"/>
      <c r="BD541" s="103"/>
      <c r="BE541" s="103"/>
    </row>
    <row r="542" ht="15.75" customHeight="1">
      <c r="A542" s="174"/>
      <c r="B542" s="180"/>
      <c r="C542" s="183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184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  <c r="AR542" s="103"/>
      <c r="AS542" s="103"/>
      <c r="AT542" s="103"/>
      <c r="AU542" s="103"/>
      <c r="AV542" s="103"/>
      <c r="AW542" s="103"/>
      <c r="AX542" s="103"/>
      <c r="AY542" s="103"/>
      <c r="AZ542" s="103"/>
      <c r="BA542" s="103"/>
      <c r="BB542" s="103"/>
      <c r="BC542" s="103"/>
      <c r="BD542" s="103"/>
      <c r="BE542" s="103"/>
    </row>
    <row r="543" ht="15.75" customHeight="1">
      <c r="A543" s="174"/>
      <c r="B543" s="180"/>
      <c r="C543" s="183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184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  <c r="AS543" s="103"/>
      <c r="AT543" s="103"/>
      <c r="AU543" s="103"/>
      <c r="AV543" s="103"/>
      <c r="AW543" s="103"/>
      <c r="AX543" s="103"/>
      <c r="AY543" s="103"/>
      <c r="AZ543" s="103"/>
      <c r="BA543" s="103"/>
      <c r="BB543" s="103"/>
      <c r="BC543" s="103"/>
      <c r="BD543" s="103"/>
      <c r="BE543" s="103"/>
    </row>
    <row r="544" ht="15.75" customHeight="1">
      <c r="A544" s="174"/>
      <c r="B544" s="180"/>
      <c r="C544" s="183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184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  <c r="AS544" s="103"/>
      <c r="AT544" s="103"/>
      <c r="AU544" s="103"/>
      <c r="AV544" s="103"/>
      <c r="AW544" s="103"/>
      <c r="AX544" s="103"/>
      <c r="AY544" s="103"/>
      <c r="AZ544" s="103"/>
      <c r="BA544" s="103"/>
      <c r="BB544" s="103"/>
      <c r="BC544" s="103"/>
      <c r="BD544" s="103"/>
      <c r="BE544" s="103"/>
    </row>
    <row r="545" ht="15.75" customHeight="1">
      <c r="A545" s="174"/>
      <c r="B545" s="180"/>
      <c r="C545" s="183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184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  <c r="AS545" s="103"/>
      <c r="AT545" s="103"/>
      <c r="AU545" s="103"/>
      <c r="AV545" s="103"/>
      <c r="AW545" s="103"/>
      <c r="AX545" s="103"/>
      <c r="AY545" s="103"/>
      <c r="AZ545" s="103"/>
      <c r="BA545" s="103"/>
      <c r="BB545" s="103"/>
      <c r="BC545" s="103"/>
      <c r="BD545" s="103"/>
      <c r="BE545" s="103"/>
    </row>
    <row r="546" ht="15.75" customHeight="1">
      <c r="A546" s="174"/>
      <c r="B546" s="180"/>
      <c r="C546" s="183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184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  <c r="AR546" s="103"/>
      <c r="AS546" s="103"/>
      <c r="AT546" s="103"/>
      <c r="AU546" s="103"/>
      <c r="AV546" s="103"/>
      <c r="AW546" s="103"/>
      <c r="AX546" s="103"/>
      <c r="AY546" s="103"/>
      <c r="AZ546" s="103"/>
      <c r="BA546" s="103"/>
      <c r="BB546" s="103"/>
      <c r="BC546" s="103"/>
      <c r="BD546" s="103"/>
      <c r="BE546" s="103"/>
    </row>
    <row r="547" ht="15.75" customHeight="1">
      <c r="A547" s="174"/>
      <c r="B547" s="180"/>
      <c r="C547" s="183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184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  <c r="AR547" s="103"/>
      <c r="AS547" s="103"/>
      <c r="AT547" s="103"/>
      <c r="AU547" s="103"/>
      <c r="AV547" s="103"/>
      <c r="AW547" s="103"/>
      <c r="AX547" s="103"/>
      <c r="AY547" s="103"/>
      <c r="AZ547" s="103"/>
      <c r="BA547" s="103"/>
      <c r="BB547" s="103"/>
      <c r="BC547" s="103"/>
      <c r="BD547" s="103"/>
      <c r="BE547" s="103"/>
    </row>
    <row r="548" ht="15.75" customHeight="1">
      <c r="A548" s="174"/>
      <c r="B548" s="180"/>
      <c r="C548" s="183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184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  <c r="AS548" s="103"/>
      <c r="AT548" s="103"/>
      <c r="AU548" s="103"/>
      <c r="AV548" s="103"/>
      <c r="AW548" s="103"/>
      <c r="AX548" s="103"/>
      <c r="AY548" s="103"/>
      <c r="AZ548" s="103"/>
      <c r="BA548" s="103"/>
      <c r="BB548" s="103"/>
      <c r="BC548" s="103"/>
      <c r="BD548" s="103"/>
      <c r="BE548" s="103"/>
    </row>
    <row r="549" ht="15.75" customHeight="1">
      <c r="A549" s="174"/>
      <c r="B549" s="180"/>
      <c r="C549" s="183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184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  <c r="AR549" s="103"/>
      <c r="AS549" s="103"/>
      <c r="AT549" s="103"/>
      <c r="AU549" s="103"/>
      <c r="AV549" s="103"/>
      <c r="AW549" s="103"/>
      <c r="AX549" s="103"/>
      <c r="AY549" s="103"/>
      <c r="AZ549" s="103"/>
      <c r="BA549" s="103"/>
      <c r="BB549" s="103"/>
      <c r="BC549" s="103"/>
      <c r="BD549" s="103"/>
      <c r="BE549" s="103"/>
    </row>
    <row r="550" ht="15.75" customHeight="1">
      <c r="A550" s="174"/>
      <c r="B550" s="180"/>
      <c r="C550" s="183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184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  <c r="AR550" s="103"/>
      <c r="AS550" s="103"/>
      <c r="AT550" s="103"/>
      <c r="AU550" s="103"/>
      <c r="AV550" s="103"/>
      <c r="AW550" s="103"/>
      <c r="AX550" s="103"/>
      <c r="AY550" s="103"/>
      <c r="AZ550" s="103"/>
      <c r="BA550" s="103"/>
      <c r="BB550" s="103"/>
      <c r="BC550" s="103"/>
      <c r="BD550" s="103"/>
      <c r="BE550" s="103"/>
    </row>
    <row r="551" ht="15.75" customHeight="1">
      <c r="A551" s="174"/>
      <c r="B551" s="180"/>
      <c r="C551" s="183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184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  <c r="AR551" s="103"/>
      <c r="AS551" s="103"/>
      <c r="AT551" s="103"/>
      <c r="AU551" s="103"/>
      <c r="AV551" s="103"/>
      <c r="AW551" s="103"/>
      <c r="AX551" s="103"/>
      <c r="AY551" s="103"/>
      <c r="AZ551" s="103"/>
      <c r="BA551" s="103"/>
      <c r="BB551" s="103"/>
      <c r="BC551" s="103"/>
      <c r="BD551" s="103"/>
      <c r="BE551" s="103"/>
    </row>
    <row r="552" ht="15.75" customHeight="1">
      <c r="A552" s="174"/>
      <c r="B552" s="180"/>
      <c r="C552" s="183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184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  <c r="AS552" s="103"/>
      <c r="AT552" s="103"/>
      <c r="AU552" s="103"/>
      <c r="AV552" s="103"/>
      <c r="AW552" s="103"/>
      <c r="AX552" s="103"/>
      <c r="AY552" s="103"/>
      <c r="AZ552" s="103"/>
      <c r="BA552" s="103"/>
      <c r="BB552" s="103"/>
      <c r="BC552" s="103"/>
      <c r="BD552" s="103"/>
      <c r="BE552" s="103"/>
    </row>
    <row r="553" ht="15.75" customHeight="1">
      <c r="A553" s="174"/>
      <c r="B553" s="180"/>
      <c r="C553" s="183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184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  <c r="AR553" s="103"/>
      <c r="AS553" s="103"/>
      <c r="AT553" s="103"/>
      <c r="AU553" s="103"/>
      <c r="AV553" s="103"/>
      <c r="AW553" s="103"/>
      <c r="AX553" s="103"/>
      <c r="AY553" s="103"/>
      <c r="AZ553" s="103"/>
      <c r="BA553" s="103"/>
      <c r="BB553" s="103"/>
      <c r="BC553" s="103"/>
      <c r="BD553" s="103"/>
      <c r="BE553" s="103"/>
    </row>
    <row r="554" ht="15.75" customHeight="1">
      <c r="A554" s="174"/>
      <c r="B554" s="180"/>
      <c r="C554" s="183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184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  <c r="AR554" s="103"/>
      <c r="AS554" s="103"/>
      <c r="AT554" s="103"/>
      <c r="AU554" s="103"/>
      <c r="AV554" s="103"/>
      <c r="AW554" s="103"/>
      <c r="AX554" s="103"/>
      <c r="AY554" s="103"/>
      <c r="AZ554" s="103"/>
      <c r="BA554" s="103"/>
      <c r="BB554" s="103"/>
      <c r="BC554" s="103"/>
      <c r="BD554" s="103"/>
      <c r="BE554" s="103"/>
    </row>
    <row r="555" ht="15.75" customHeight="1">
      <c r="A555" s="174"/>
      <c r="B555" s="180"/>
      <c r="C555" s="183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184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  <c r="AR555" s="103"/>
      <c r="AS555" s="103"/>
      <c r="AT555" s="103"/>
      <c r="AU555" s="103"/>
      <c r="AV555" s="103"/>
      <c r="AW555" s="103"/>
      <c r="AX555" s="103"/>
      <c r="AY555" s="103"/>
      <c r="AZ555" s="103"/>
      <c r="BA555" s="103"/>
      <c r="BB555" s="103"/>
      <c r="BC555" s="103"/>
      <c r="BD555" s="103"/>
      <c r="BE555" s="103"/>
    </row>
    <row r="556" ht="15.75" customHeight="1">
      <c r="A556" s="174"/>
      <c r="B556" s="180"/>
      <c r="C556" s="183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184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  <c r="AV556" s="103"/>
      <c r="AW556" s="103"/>
      <c r="AX556" s="103"/>
      <c r="AY556" s="103"/>
      <c r="AZ556" s="103"/>
      <c r="BA556" s="103"/>
      <c r="BB556" s="103"/>
      <c r="BC556" s="103"/>
      <c r="BD556" s="103"/>
      <c r="BE556" s="103"/>
    </row>
    <row r="557" ht="15.75" customHeight="1">
      <c r="A557" s="174"/>
      <c r="B557" s="180"/>
      <c r="C557" s="183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184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  <c r="AR557" s="103"/>
      <c r="AS557" s="103"/>
      <c r="AT557" s="103"/>
      <c r="AU557" s="103"/>
      <c r="AV557" s="103"/>
      <c r="AW557" s="103"/>
      <c r="AX557" s="103"/>
      <c r="AY557" s="103"/>
      <c r="AZ557" s="103"/>
      <c r="BA557" s="103"/>
      <c r="BB557" s="103"/>
      <c r="BC557" s="103"/>
      <c r="BD557" s="103"/>
      <c r="BE557" s="103"/>
    </row>
    <row r="558" ht="15.75" customHeight="1">
      <c r="A558" s="174"/>
      <c r="B558" s="180"/>
      <c r="C558" s="183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184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  <c r="AS558" s="103"/>
      <c r="AT558" s="103"/>
      <c r="AU558" s="103"/>
      <c r="AV558" s="103"/>
      <c r="AW558" s="103"/>
      <c r="AX558" s="103"/>
      <c r="AY558" s="103"/>
      <c r="AZ558" s="103"/>
      <c r="BA558" s="103"/>
      <c r="BB558" s="103"/>
      <c r="BC558" s="103"/>
      <c r="BD558" s="103"/>
      <c r="BE558" s="103"/>
    </row>
    <row r="559" ht="15.75" customHeight="1">
      <c r="A559" s="174"/>
      <c r="B559" s="180"/>
      <c r="C559" s="183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184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  <c r="AS559" s="103"/>
      <c r="AT559" s="103"/>
      <c r="AU559" s="103"/>
      <c r="AV559" s="103"/>
      <c r="AW559" s="103"/>
      <c r="AX559" s="103"/>
      <c r="AY559" s="103"/>
      <c r="AZ559" s="103"/>
      <c r="BA559" s="103"/>
      <c r="BB559" s="103"/>
      <c r="BC559" s="103"/>
      <c r="BD559" s="103"/>
      <c r="BE559" s="103"/>
    </row>
    <row r="560" ht="15.75" customHeight="1">
      <c r="A560" s="174"/>
      <c r="B560" s="180"/>
      <c r="C560" s="183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184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  <c r="AR560" s="103"/>
      <c r="AS560" s="103"/>
      <c r="AT560" s="103"/>
      <c r="AU560" s="103"/>
      <c r="AV560" s="103"/>
      <c r="AW560" s="103"/>
      <c r="AX560" s="103"/>
      <c r="AY560" s="103"/>
      <c r="AZ560" s="103"/>
      <c r="BA560" s="103"/>
      <c r="BB560" s="103"/>
      <c r="BC560" s="103"/>
      <c r="BD560" s="103"/>
      <c r="BE560" s="103"/>
    </row>
    <row r="561" ht="15.75" customHeight="1">
      <c r="A561" s="174"/>
      <c r="B561" s="180"/>
      <c r="C561" s="183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184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  <c r="AV561" s="103"/>
      <c r="AW561" s="103"/>
      <c r="AX561" s="103"/>
      <c r="AY561" s="103"/>
      <c r="AZ561" s="103"/>
      <c r="BA561" s="103"/>
      <c r="BB561" s="103"/>
      <c r="BC561" s="103"/>
      <c r="BD561" s="103"/>
      <c r="BE561" s="103"/>
    </row>
    <row r="562" ht="15.75" customHeight="1">
      <c r="A562" s="174"/>
      <c r="B562" s="180"/>
      <c r="C562" s="183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184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  <c r="AR562" s="103"/>
      <c r="AS562" s="103"/>
      <c r="AT562" s="103"/>
      <c r="AU562" s="103"/>
      <c r="AV562" s="103"/>
      <c r="AW562" s="103"/>
      <c r="AX562" s="103"/>
      <c r="AY562" s="103"/>
      <c r="AZ562" s="103"/>
      <c r="BA562" s="103"/>
      <c r="BB562" s="103"/>
      <c r="BC562" s="103"/>
      <c r="BD562" s="103"/>
      <c r="BE562" s="103"/>
    </row>
    <row r="563" ht="15.75" customHeight="1">
      <c r="A563" s="174"/>
      <c r="B563" s="180"/>
      <c r="C563" s="183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184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  <c r="AR563" s="103"/>
      <c r="AS563" s="103"/>
      <c r="AT563" s="103"/>
      <c r="AU563" s="103"/>
      <c r="AV563" s="103"/>
      <c r="AW563" s="103"/>
      <c r="AX563" s="103"/>
      <c r="AY563" s="103"/>
      <c r="AZ563" s="103"/>
      <c r="BA563" s="103"/>
      <c r="BB563" s="103"/>
      <c r="BC563" s="103"/>
      <c r="BD563" s="103"/>
      <c r="BE563" s="103"/>
    </row>
    <row r="564" ht="15.75" customHeight="1">
      <c r="A564" s="174"/>
      <c r="B564" s="180"/>
      <c r="C564" s="183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184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  <c r="AR564" s="103"/>
      <c r="AS564" s="103"/>
      <c r="AT564" s="103"/>
      <c r="AU564" s="103"/>
      <c r="AV564" s="103"/>
      <c r="AW564" s="103"/>
      <c r="AX564" s="103"/>
      <c r="AY564" s="103"/>
      <c r="AZ564" s="103"/>
      <c r="BA564" s="103"/>
      <c r="BB564" s="103"/>
      <c r="BC564" s="103"/>
      <c r="BD564" s="103"/>
      <c r="BE564" s="103"/>
    </row>
    <row r="565" ht="15.75" customHeight="1">
      <c r="A565" s="174"/>
      <c r="B565" s="180"/>
      <c r="C565" s="183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184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  <c r="AR565" s="103"/>
      <c r="AS565" s="103"/>
      <c r="AT565" s="103"/>
      <c r="AU565" s="103"/>
      <c r="AV565" s="103"/>
      <c r="AW565" s="103"/>
      <c r="AX565" s="103"/>
      <c r="AY565" s="103"/>
      <c r="AZ565" s="103"/>
      <c r="BA565" s="103"/>
      <c r="BB565" s="103"/>
      <c r="BC565" s="103"/>
      <c r="BD565" s="103"/>
      <c r="BE565" s="103"/>
    </row>
    <row r="566" ht="15.75" customHeight="1">
      <c r="A566" s="174"/>
      <c r="B566" s="180"/>
      <c r="C566" s="183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184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  <c r="AR566" s="103"/>
      <c r="AS566" s="103"/>
      <c r="AT566" s="103"/>
      <c r="AU566" s="103"/>
      <c r="AV566" s="103"/>
      <c r="AW566" s="103"/>
      <c r="AX566" s="103"/>
      <c r="AY566" s="103"/>
      <c r="AZ566" s="103"/>
      <c r="BA566" s="103"/>
      <c r="BB566" s="103"/>
      <c r="BC566" s="103"/>
      <c r="BD566" s="103"/>
      <c r="BE566" s="103"/>
    </row>
    <row r="567" ht="15.75" customHeight="1">
      <c r="A567" s="174"/>
      <c r="B567" s="180"/>
      <c r="C567" s="183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184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  <c r="AR567" s="103"/>
      <c r="AS567" s="103"/>
      <c r="AT567" s="103"/>
      <c r="AU567" s="103"/>
      <c r="AV567" s="103"/>
      <c r="AW567" s="103"/>
      <c r="AX567" s="103"/>
      <c r="AY567" s="103"/>
      <c r="AZ567" s="103"/>
      <c r="BA567" s="103"/>
      <c r="BB567" s="103"/>
      <c r="BC567" s="103"/>
      <c r="BD567" s="103"/>
      <c r="BE567" s="103"/>
    </row>
    <row r="568" ht="15.75" customHeight="1">
      <c r="A568" s="174"/>
      <c r="B568" s="180"/>
      <c r="C568" s="183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184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  <c r="AR568" s="103"/>
      <c r="AS568" s="103"/>
      <c r="AT568" s="103"/>
      <c r="AU568" s="103"/>
      <c r="AV568" s="103"/>
      <c r="AW568" s="103"/>
      <c r="AX568" s="103"/>
      <c r="AY568" s="103"/>
      <c r="AZ568" s="103"/>
      <c r="BA568" s="103"/>
      <c r="BB568" s="103"/>
      <c r="BC568" s="103"/>
      <c r="BD568" s="103"/>
      <c r="BE568" s="103"/>
    </row>
    <row r="569" ht="15.75" customHeight="1">
      <c r="A569" s="174"/>
      <c r="B569" s="180"/>
      <c r="C569" s="183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184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  <c r="AR569" s="103"/>
      <c r="AS569" s="103"/>
      <c r="AT569" s="103"/>
      <c r="AU569" s="103"/>
      <c r="AV569" s="103"/>
      <c r="AW569" s="103"/>
      <c r="AX569" s="103"/>
      <c r="AY569" s="103"/>
      <c r="AZ569" s="103"/>
      <c r="BA569" s="103"/>
      <c r="BB569" s="103"/>
      <c r="BC569" s="103"/>
      <c r="BD569" s="103"/>
      <c r="BE569" s="103"/>
    </row>
    <row r="570" ht="15.75" customHeight="1">
      <c r="A570" s="174"/>
      <c r="B570" s="180"/>
      <c r="C570" s="183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184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  <c r="AR570" s="103"/>
      <c r="AS570" s="103"/>
      <c r="AT570" s="103"/>
      <c r="AU570" s="103"/>
      <c r="AV570" s="103"/>
      <c r="AW570" s="103"/>
      <c r="AX570" s="103"/>
      <c r="AY570" s="103"/>
      <c r="AZ570" s="103"/>
      <c r="BA570" s="103"/>
      <c r="BB570" s="103"/>
      <c r="BC570" s="103"/>
      <c r="BD570" s="103"/>
      <c r="BE570" s="103"/>
    </row>
    <row r="571" ht="15.75" customHeight="1">
      <c r="A571" s="174"/>
      <c r="B571" s="180"/>
      <c r="C571" s="183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184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  <c r="AR571" s="103"/>
      <c r="AS571" s="103"/>
      <c r="AT571" s="103"/>
      <c r="AU571" s="103"/>
      <c r="AV571" s="103"/>
      <c r="AW571" s="103"/>
      <c r="AX571" s="103"/>
      <c r="AY571" s="103"/>
      <c r="AZ571" s="103"/>
      <c r="BA571" s="103"/>
      <c r="BB571" s="103"/>
      <c r="BC571" s="103"/>
      <c r="BD571" s="103"/>
      <c r="BE571" s="103"/>
    </row>
    <row r="572" ht="15.75" customHeight="1">
      <c r="A572" s="174"/>
      <c r="B572" s="180"/>
      <c r="C572" s="183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184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  <c r="AR572" s="103"/>
      <c r="AS572" s="103"/>
      <c r="AT572" s="103"/>
      <c r="AU572" s="103"/>
      <c r="AV572" s="103"/>
      <c r="AW572" s="103"/>
      <c r="AX572" s="103"/>
      <c r="AY572" s="103"/>
      <c r="AZ572" s="103"/>
      <c r="BA572" s="103"/>
      <c r="BB572" s="103"/>
      <c r="BC572" s="103"/>
      <c r="BD572" s="103"/>
      <c r="BE572" s="103"/>
    </row>
    <row r="573" ht="15.75" customHeight="1">
      <c r="A573" s="174"/>
      <c r="B573" s="180"/>
      <c r="C573" s="183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184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  <c r="AR573" s="103"/>
      <c r="AS573" s="103"/>
      <c r="AT573" s="103"/>
      <c r="AU573" s="103"/>
      <c r="AV573" s="103"/>
      <c r="AW573" s="103"/>
      <c r="AX573" s="103"/>
      <c r="AY573" s="103"/>
      <c r="AZ573" s="103"/>
      <c r="BA573" s="103"/>
      <c r="BB573" s="103"/>
      <c r="BC573" s="103"/>
      <c r="BD573" s="103"/>
      <c r="BE573" s="103"/>
    </row>
    <row r="574" ht="15.75" customHeight="1">
      <c r="A574" s="174"/>
      <c r="B574" s="180"/>
      <c r="C574" s="183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184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  <c r="AR574" s="103"/>
      <c r="AS574" s="103"/>
      <c r="AT574" s="103"/>
      <c r="AU574" s="103"/>
      <c r="AV574" s="103"/>
      <c r="AW574" s="103"/>
      <c r="AX574" s="103"/>
      <c r="AY574" s="103"/>
      <c r="AZ574" s="103"/>
      <c r="BA574" s="103"/>
      <c r="BB574" s="103"/>
      <c r="BC574" s="103"/>
      <c r="BD574" s="103"/>
      <c r="BE574" s="103"/>
    </row>
    <row r="575" ht="15.75" customHeight="1">
      <c r="A575" s="174"/>
      <c r="B575" s="180"/>
      <c r="C575" s="183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184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  <c r="AR575" s="103"/>
      <c r="AS575" s="103"/>
      <c r="AT575" s="103"/>
      <c r="AU575" s="103"/>
      <c r="AV575" s="103"/>
      <c r="AW575" s="103"/>
      <c r="AX575" s="103"/>
      <c r="AY575" s="103"/>
      <c r="AZ575" s="103"/>
      <c r="BA575" s="103"/>
      <c r="BB575" s="103"/>
      <c r="BC575" s="103"/>
      <c r="BD575" s="103"/>
      <c r="BE575" s="103"/>
    </row>
    <row r="576" ht="15.75" customHeight="1">
      <c r="A576" s="174"/>
      <c r="B576" s="180"/>
      <c r="C576" s="183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184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  <c r="AR576" s="103"/>
      <c r="AS576" s="103"/>
      <c r="AT576" s="103"/>
      <c r="AU576" s="103"/>
      <c r="AV576" s="103"/>
      <c r="AW576" s="103"/>
      <c r="AX576" s="103"/>
      <c r="AY576" s="103"/>
      <c r="AZ576" s="103"/>
      <c r="BA576" s="103"/>
      <c r="BB576" s="103"/>
      <c r="BC576" s="103"/>
      <c r="BD576" s="103"/>
      <c r="BE576" s="103"/>
    </row>
    <row r="577" ht="15.75" customHeight="1">
      <c r="A577" s="174"/>
      <c r="B577" s="180"/>
      <c r="C577" s="183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184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  <c r="AR577" s="103"/>
      <c r="AS577" s="103"/>
      <c r="AT577" s="103"/>
      <c r="AU577" s="103"/>
      <c r="AV577" s="103"/>
      <c r="AW577" s="103"/>
      <c r="AX577" s="103"/>
      <c r="AY577" s="103"/>
      <c r="AZ577" s="103"/>
      <c r="BA577" s="103"/>
      <c r="BB577" s="103"/>
      <c r="BC577" s="103"/>
      <c r="BD577" s="103"/>
      <c r="BE577" s="103"/>
    </row>
    <row r="578" ht="15.75" customHeight="1">
      <c r="A578" s="174"/>
      <c r="B578" s="180"/>
      <c r="C578" s="183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184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  <c r="AR578" s="103"/>
      <c r="AS578" s="103"/>
      <c r="AT578" s="103"/>
      <c r="AU578" s="103"/>
      <c r="AV578" s="103"/>
      <c r="AW578" s="103"/>
      <c r="AX578" s="103"/>
      <c r="AY578" s="103"/>
      <c r="AZ578" s="103"/>
      <c r="BA578" s="103"/>
      <c r="BB578" s="103"/>
      <c r="BC578" s="103"/>
      <c r="BD578" s="103"/>
      <c r="BE578" s="103"/>
    </row>
    <row r="579" ht="15.75" customHeight="1">
      <c r="A579" s="174"/>
      <c r="B579" s="180"/>
      <c r="C579" s="183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184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  <c r="AR579" s="103"/>
      <c r="AS579" s="103"/>
      <c r="AT579" s="103"/>
      <c r="AU579" s="103"/>
      <c r="AV579" s="103"/>
      <c r="AW579" s="103"/>
      <c r="AX579" s="103"/>
      <c r="AY579" s="103"/>
      <c r="AZ579" s="103"/>
      <c r="BA579" s="103"/>
      <c r="BB579" s="103"/>
      <c r="BC579" s="103"/>
      <c r="BD579" s="103"/>
      <c r="BE579" s="103"/>
    </row>
    <row r="580" ht="15.75" customHeight="1">
      <c r="A580" s="174"/>
      <c r="B580" s="180"/>
      <c r="C580" s="183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184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  <c r="AR580" s="103"/>
      <c r="AS580" s="103"/>
      <c r="AT580" s="103"/>
      <c r="AU580" s="103"/>
      <c r="AV580" s="103"/>
      <c r="AW580" s="103"/>
      <c r="AX580" s="103"/>
      <c r="AY580" s="103"/>
      <c r="AZ580" s="103"/>
      <c r="BA580" s="103"/>
      <c r="BB580" s="103"/>
      <c r="BC580" s="103"/>
      <c r="BD580" s="103"/>
      <c r="BE580" s="103"/>
    </row>
    <row r="581" ht="15.75" customHeight="1">
      <c r="A581" s="174"/>
      <c r="B581" s="180"/>
      <c r="C581" s="183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184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  <c r="AR581" s="103"/>
      <c r="AS581" s="103"/>
      <c r="AT581" s="103"/>
      <c r="AU581" s="103"/>
      <c r="AV581" s="103"/>
      <c r="AW581" s="103"/>
      <c r="AX581" s="103"/>
      <c r="AY581" s="103"/>
      <c r="AZ581" s="103"/>
      <c r="BA581" s="103"/>
      <c r="BB581" s="103"/>
      <c r="BC581" s="103"/>
      <c r="BD581" s="103"/>
      <c r="BE581" s="103"/>
    </row>
    <row r="582" ht="15.75" customHeight="1">
      <c r="A582" s="174"/>
      <c r="B582" s="180"/>
      <c r="C582" s="183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184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  <c r="AR582" s="103"/>
      <c r="AS582" s="103"/>
      <c r="AT582" s="103"/>
      <c r="AU582" s="103"/>
      <c r="AV582" s="103"/>
      <c r="AW582" s="103"/>
      <c r="AX582" s="103"/>
      <c r="AY582" s="103"/>
      <c r="AZ582" s="103"/>
      <c r="BA582" s="103"/>
      <c r="BB582" s="103"/>
      <c r="BC582" s="103"/>
      <c r="BD582" s="103"/>
      <c r="BE582" s="103"/>
    </row>
    <row r="583" ht="15.75" customHeight="1">
      <c r="A583" s="174"/>
      <c r="B583" s="180"/>
      <c r="C583" s="183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184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  <c r="AR583" s="103"/>
      <c r="AS583" s="103"/>
      <c r="AT583" s="103"/>
      <c r="AU583" s="103"/>
      <c r="AV583" s="103"/>
      <c r="AW583" s="103"/>
      <c r="AX583" s="103"/>
      <c r="AY583" s="103"/>
      <c r="AZ583" s="103"/>
      <c r="BA583" s="103"/>
      <c r="BB583" s="103"/>
      <c r="BC583" s="103"/>
      <c r="BD583" s="103"/>
      <c r="BE583" s="103"/>
    </row>
    <row r="584" ht="15.75" customHeight="1">
      <c r="A584" s="174"/>
      <c r="B584" s="180"/>
      <c r="C584" s="183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184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  <c r="AR584" s="103"/>
      <c r="AS584" s="103"/>
      <c r="AT584" s="103"/>
      <c r="AU584" s="103"/>
      <c r="AV584" s="103"/>
      <c r="AW584" s="103"/>
      <c r="AX584" s="103"/>
      <c r="AY584" s="103"/>
      <c r="AZ584" s="103"/>
      <c r="BA584" s="103"/>
      <c r="BB584" s="103"/>
      <c r="BC584" s="103"/>
      <c r="BD584" s="103"/>
      <c r="BE584" s="103"/>
    </row>
    <row r="585" ht="15.75" customHeight="1">
      <c r="A585" s="174"/>
      <c r="B585" s="180"/>
      <c r="C585" s="183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184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  <c r="AR585" s="103"/>
      <c r="AS585" s="103"/>
      <c r="AT585" s="103"/>
      <c r="AU585" s="103"/>
      <c r="AV585" s="103"/>
      <c r="AW585" s="103"/>
      <c r="AX585" s="103"/>
      <c r="AY585" s="103"/>
      <c r="AZ585" s="103"/>
      <c r="BA585" s="103"/>
      <c r="BB585" s="103"/>
      <c r="BC585" s="103"/>
      <c r="BD585" s="103"/>
      <c r="BE585" s="103"/>
    </row>
    <row r="586" ht="15.75" customHeight="1">
      <c r="A586" s="174"/>
      <c r="B586" s="180"/>
      <c r="C586" s="183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184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  <c r="AR586" s="103"/>
      <c r="AS586" s="103"/>
      <c r="AT586" s="103"/>
      <c r="AU586" s="103"/>
      <c r="AV586" s="103"/>
      <c r="AW586" s="103"/>
      <c r="AX586" s="103"/>
      <c r="AY586" s="103"/>
      <c r="AZ586" s="103"/>
      <c r="BA586" s="103"/>
      <c r="BB586" s="103"/>
      <c r="BC586" s="103"/>
      <c r="BD586" s="103"/>
      <c r="BE586" s="103"/>
    </row>
    <row r="587" ht="15.75" customHeight="1">
      <c r="A587" s="174"/>
      <c r="B587" s="180"/>
      <c r="C587" s="183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184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  <c r="AR587" s="103"/>
      <c r="AS587" s="103"/>
      <c r="AT587" s="103"/>
      <c r="AU587" s="103"/>
      <c r="AV587" s="103"/>
      <c r="AW587" s="103"/>
      <c r="AX587" s="103"/>
      <c r="AY587" s="103"/>
      <c r="AZ587" s="103"/>
      <c r="BA587" s="103"/>
      <c r="BB587" s="103"/>
      <c r="BC587" s="103"/>
      <c r="BD587" s="103"/>
      <c r="BE587" s="103"/>
    </row>
    <row r="588" ht="15.75" customHeight="1">
      <c r="A588" s="174"/>
      <c r="B588" s="180"/>
      <c r="C588" s="183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184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  <c r="AR588" s="103"/>
      <c r="AS588" s="103"/>
      <c r="AT588" s="103"/>
      <c r="AU588" s="103"/>
      <c r="AV588" s="103"/>
      <c r="AW588" s="103"/>
      <c r="AX588" s="103"/>
      <c r="AY588" s="103"/>
      <c r="AZ588" s="103"/>
      <c r="BA588" s="103"/>
      <c r="BB588" s="103"/>
      <c r="BC588" s="103"/>
      <c r="BD588" s="103"/>
      <c r="BE588" s="103"/>
    </row>
    <row r="589" ht="15.75" customHeight="1">
      <c r="A589" s="174"/>
      <c r="B589" s="180"/>
      <c r="C589" s="183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184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  <c r="AR589" s="103"/>
      <c r="AS589" s="103"/>
      <c r="AT589" s="103"/>
      <c r="AU589" s="103"/>
      <c r="AV589" s="103"/>
      <c r="AW589" s="103"/>
      <c r="AX589" s="103"/>
      <c r="AY589" s="103"/>
      <c r="AZ589" s="103"/>
      <c r="BA589" s="103"/>
      <c r="BB589" s="103"/>
      <c r="BC589" s="103"/>
      <c r="BD589" s="103"/>
      <c r="BE589" s="103"/>
    </row>
    <row r="590" ht="15.75" customHeight="1">
      <c r="A590" s="174"/>
      <c r="B590" s="180"/>
      <c r="C590" s="183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184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  <c r="AR590" s="103"/>
      <c r="AS590" s="103"/>
      <c r="AT590" s="103"/>
      <c r="AU590" s="103"/>
      <c r="AV590" s="103"/>
      <c r="AW590" s="103"/>
      <c r="AX590" s="103"/>
      <c r="AY590" s="103"/>
      <c r="AZ590" s="103"/>
      <c r="BA590" s="103"/>
      <c r="BB590" s="103"/>
      <c r="BC590" s="103"/>
      <c r="BD590" s="103"/>
      <c r="BE590" s="103"/>
    </row>
    <row r="591" ht="15.75" customHeight="1">
      <c r="A591" s="174"/>
      <c r="B591" s="180"/>
      <c r="C591" s="183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184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  <c r="AR591" s="103"/>
      <c r="AS591" s="103"/>
      <c r="AT591" s="103"/>
      <c r="AU591" s="103"/>
      <c r="AV591" s="103"/>
      <c r="AW591" s="103"/>
      <c r="AX591" s="103"/>
      <c r="AY591" s="103"/>
      <c r="AZ591" s="103"/>
      <c r="BA591" s="103"/>
      <c r="BB591" s="103"/>
      <c r="BC591" s="103"/>
      <c r="BD591" s="103"/>
      <c r="BE591" s="103"/>
    </row>
    <row r="592" ht="15.75" customHeight="1">
      <c r="A592" s="174"/>
      <c r="B592" s="180"/>
      <c r="C592" s="183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184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  <c r="AR592" s="103"/>
      <c r="AS592" s="103"/>
      <c r="AT592" s="103"/>
      <c r="AU592" s="103"/>
      <c r="AV592" s="103"/>
      <c r="AW592" s="103"/>
      <c r="AX592" s="103"/>
      <c r="AY592" s="103"/>
      <c r="AZ592" s="103"/>
      <c r="BA592" s="103"/>
      <c r="BB592" s="103"/>
      <c r="BC592" s="103"/>
      <c r="BD592" s="103"/>
      <c r="BE592" s="103"/>
    </row>
    <row r="593" ht="15.75" customHeight="1">
      <c r="A593" s="174"/>
      <c r="B593" s="180"/>
      <c r="C593" s="183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184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  <c r="AR593" s="103"/>
      <c r="AS593" s="103"/>
      <c r="AT593" s="103"/>
      <c r="AU593" s="103"/>
      <c r="AV593" s="103"/>
      <c r="AW593" s="103"/>
      <c r="AX593" s="103"/>
      <c r="AY593" s="103"/>
      <c r="AZ593" s="103"/>
      <c r="BA593" s="103"/>
      <c r="BB593" s="103"/>
      <c r="BC593" s="103"/>
      <c r="BD593" s="103"/>
      <c r="BE593" s="103"/>
    </row>
    <row r="594" ht="15.75" customHeight="1">
      <c r="A594" s="174"/>
      <c r="B594" s="180"/>
      <c r="C594" s="183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184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  <c r="AR594" s="103"/>
      <c r="AS594" s="103"/>
      <c r="AT594" s="103"/>
      <c r="AU594" s="103"/>
      <c r="AV594" s="103"/>
      <c r="AW594" s="103"/>
      <c r="AX594" s="103"/>
      <c r="AY594" s="103"/>
      <c r="AZ594" s="103"/>
      <c r="BA594" s="103"/>
      <c r="BB594" s="103"/>
      <c r="BC594" s="103"/>
      <c r="BD594" s="103"/>
      <c r="BE594" s="103"/>
    </row>
    <row r="595" ht="15.75" customHeight="1">
      <c r="A595" s="174"/>
      <c r="B595" s="180"/>
      <c r="C595" s="183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184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  <c r="AR595" s="103"/>
      <c r="AS595" s="103"/>
      <c r="AT595" s="103"/>
      <c r="AU595" s="103"/>
      <c r="AV595" s="103"/>
      <c r="AW595" s="103"/>
      <c r="AX595" s="103"/>
      <c r="AY595" s="103"/>
      <c r="AZ595" s="103"/>
      <c r="BA595" s="103"/>
      <c r="BB595" s="103"/>
      <c r="BC595" s="103"/>
      <c r="BD595" s="103"/>
      <c r="BE595" s="103"/>
    </row>
    <row r="596" ht="15.75" customHeight="1">
      <c r="A596" s="174"/>
      <c r="B596" s="180"/>
      <c r="C596" s="183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184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  <c r="AR596" s="103"/>
      <c r="AS596" s="103"/>
      <c r="AT596" s="103"/>
      <c r="AU596" s="103"/>
      <c r="AV596" s="103"/>
      <c r="AW596" s="103"/>
      <c r="AX596" s="103"/>
      <c r="AY596" s="103"/>
      <c r="AZ596" s="103"/>
      <c r="BA596" s="103"/>
      <c r="BB596" s="103"/>
      <c r="BC596" s="103"/>
      <c r="BD596" s="103"/>
      <c r="BE596" s="103"/>
    </row>
    <row r="597" ht="15.75" customHeight="1">
      <c r="A597" s="174"/>
      <c r="B597" s="180"/>
      <c r="C597" s="183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184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  <c r="AR597" s="103"/>
      <c r="AS597" s="103"/>
      <c r="AT597" s="103"/>
      <c r="AU597" s="103"/>
      <c r="AV597" s="103"/>
      <c r="AW597" s="103"/>
      <c r="AX597" s="103"/>
      <c r="AY597" s="103"/>
      <c r="AZ597" s="103"/>
      <c r="BA597" s="103"/>
      <c r="BB597" s="103"/>
      <c r="BC597" s="103"/>
      <c r="BD597" s="103"/>
      <c r="BE597" s="103"/>
    </row>
    <row r="598" ht="15.75" customHeight="1">
      <c r="A598" s="174"/>
      <c r="B598" s="180"/>
      <c r="C598" s="183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184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  <c r="AR598" s="103"/>
      <c r="AS598" s="103"/>
      <c r="AT598" s="103"/>
      <c r="AU598" s="103"/>
      <c r="AV598" s="103"/>
      <c r="AW598" s="103"/>
      <c r="AX598" s="103"/>
      <c r="AY598" s="103"/>
      <c r="AZ598" s="103"/>
      <c r="BA598" s="103"/>
      <c r="BB598" s="103"/>
      <c r="BC598" s="103"/>
      <c r="BD598" s="103"/>
      <c r="BE598" s="103"/>
    </row>
    <row r="599" ht="15.75" customHeight="1">
      <c r="A599" s="174"/>
      <c r="B599" s="180"/>
      <c r="C599" s="183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184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  <c r="AR599" s="103"/>
      <c r="AS599" s="103"/>
      <c r="AT599" s="103"/>
      <c r="AU599" s="103"/>
      <c r="AV599" s="103"/>
      <c r="AW599" s="103"/>
      <c r="AX599" s="103"/>
      <c r="AY599" s="103"/>
      <c r="AZ599" s="103"/>
      <c r="BA599" s="103"/>
      <c r="BB599" s="103"/>
      <c r="BC599" s="103"/>
      <c r="BD599" s="103"/>
      <c r="BE599" s="103"/>
    </row>
    <row r="600" ht="15.75" customHeight="1">
      <c r="A600" s="174"/>
      <c r="B600" s="180"/>
      <c r="C600" s="183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184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  <c r="AR600" s="103"/>
      <c r="AS600" s="103"/>
      <c r="AT600" s="103"/>
      <c r="AU600" s="103"/>
      <c r="AV600" s="103"/>
      <c r="AW600" s="103"/>
      <c r="AX600" s="103"/>
      <c r="AY600" s="103"/>
      <c r="AZ600" s="103"/>
      <c r="BA600" s="103"/>
      <c r="BB600" s="103"/>
      <c r="BC600" s="103"/>
      <c r="BD600" s="103"/>
      <c r="BE600" s="103"/>
    </row>
    <row r="601" ht="15.75" customHeight="1">
      <c r="A601" s="174"/>
      <c r="B601" s="180"/>
      <c r="C601" s="183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184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  <c r="AR601" s="103"/>
      <c r="AS601" s="103"/>
      <c r="AT601" s="103"/>
      <c r="AU601" s="103"/>
      <c r="AV601" s="103"/>
      <c r="AW601" s="103"/>
      <c r="AX601" s="103"/>
      <c r="AY601" s="103"/>
      <c r="AZ601" s="103"/>
      <c r="BA601" s="103"/>
      <c r="BB601" s="103"/>
      <c r="BC601" s="103"/>
      <c r="BD601" s="103"/>
      <c r="BE601" s="103"/>
    </row>
    <row r="602" ht="15.75" customHeight="1">
      <c r="A602" s="174"/>
      <c r="B602" s="180"/>
      <c r="C602" s="183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184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  <c r="AR602" s="103"/>
      <c r="AS602" s="103"/>
      <c r="AT602" s="103"/>
      <c r="AU602" s="103"/>
      <c r="AV602" s="103"/>
      <c r="AW602" s="103"/>
      <c r="AX602" s="103"/>
      <c r="AY602" s="103"/>
      <c r="AZ602" s="103"/>
      <c r="BA602" s="103"/>
      <c r="BB602" s="103"/>
      <c r="BC602" s="103"/>
      <c r="BD602" s="103"/>
      <c r="BE602" s="103"/>
    </row>
    <row r="603" ht="15.75" customHeight="1">
      <c r="A603" s="174"/>
      <c r="B603" s="180"/>
      <c r="C603" s="183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184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  <c r="AR603" s="103"/>
      <c r="AS603" s="103"/>
      <c r="AT603" s="103"/>
      <c r="AU603" s="103"/>
      <c r="AV603" s="103"/>
      <c r="AW603" s="103"/>
      <c r="AX603" s="103"/>
      <c r="AY603" s="103"/>
      <c r="AZ603" s="103"/>
      <c r="BA603" s="103"/>
      <c r="BB603" s="103"/>
      <c r="BC603" s="103"/>
      <c r="BD603" s="103"/>
      <c r="BE603" s="103"/>
    </row>
    <row r="604" ht="15.75" customHeight="1">
      <c r="A604" s="174"/>
      <c r="B604" s="180"/>
      <c r="C604" s="183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184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  <c r="AR604" s="103"/>
      <c r="AS604" s="103"/>
      <c r="AT604" s="103"/>
      <c r="AU604" s="103"/>
      <c r="AV604" s="103"/>
      <c r="AW604" s="103"/>
      <c r="AX604" s="103"/>
      <c r="AY604" s="103"/>
      <c r="AZ604" s="103"/>
      <c r="BA604" s="103"/>
      <c r="BB604" s="103"/>
      <c r="BC604" s="103"/>
      <c r="BD604" s="103"/>
      <c r="BE604" s="103"/>
    </row>
    <row r="605" ht="15.75" customHeight="1">
      <c r="A605" s="174"/>
      <c r="B605" s="180"/>
      <c r="C605" s="183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184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  <c r="AR605" s="103"/>
      <c r="AS605" s="103"/>
      <c r="AT605" s="103"/>
      <c r="AU605" s="103"/>
      <c r="AV605" s="103"/>
      <c r="AW605" s="103"/>
      <c r="AX605" s="103"/>
      <c r="AY605" s="103"/>
      <c r="AZ605" s="103"/>
      <c r="BA605" s="103"/>
      <c r="BB605" s="103"/>
      <c r="BC605" s="103"/>
      <c r="BD605" s="103"/>
      <c r="BE605" s="103"/>
    </row>
    <row r="606" ht="15.75" customHeight="1">
      <c r="A606" s="174"/>
      <c r="B606" s="180"/>
      <c r="C606" s="183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184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  <c r="AR606" s="103"/>
      <c r="AS606" s="103"/>
      <c r="AT606" s="103"/>
      <c r="AU606" s="103"/>
      <c r="AV606" s="103"/>
      <c r="AW606" s="103"/>
      <c r="AX606" s="103"/>
      <c r="AY606" s="103"/>
      <c r="AZ606" s="103"/>
      <c r="BA606" s="103"/>
      <c r="BB606" s="103"/>
      <c r="BC606" s="103"/>
      <c r="BD606" s="103"/>
      <c r="BE606" s="103"/>
    </row>
    <row r="607" ht="15.75" customHeight="1">
      <c r="A607" s="174"/>
      <c r="B607" s="180"/>
      <c r="C607" s="183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184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  <c r="AR607" s="103"/>
      <c r="AS607" s="103"/>
      <c r="AT607" s="103"/>
      <c r="AU607" s="103"/>
      <c r="AV607" s="103"/>
      <c r="AW607" s="103"/>
      <c r="AX607" s="103"/>
      <c r="AY607" s="103"/>
      <c r="AZ607" s="103"/>
      <c r="BA607" s="103"/>
      <c r="BB607" s="103"/>
      <c r="BC607" s="103"/>
      <c r="BD607" s="103"/>
      <c r="BE607" s="103"/>
    </row>
    <row r="608" ht="15.75" customHeight="1">
      <c r="A608" s="174"/>
      <c r="B608" s="180"/>
      <c r="C608" s="183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184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  <c r="AS608" s="103"/>
      <c r="AT608" s="103"/>
      <c r="AU608" s="103"/>
      <c r="AV608" s="103"/>
      <c r="AW608" s="103"/>
      <c r="AX608" s="103"/>
      <c r="AY608" s="103"/>
      <c r="AZ608" s="103"/>
      <c r="BA608" s="103"/>
      <c r="BB608" s="103"/>
      <c r="BC608" s="103"/>
      <c r="BD608" s="103"/>
      <c r="BE608" s="103"/>
    </row>
    <row r="609" ht="15.75" customHeight="1">
      <c r="A609" s="174"/>
      <c r="B609" s="180"/>
      <c r="C609" s="183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184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  <c r="AS609" s="103"/>
      <c r="AT609" s="103"/>
      <c r="AU609" s="103"/>
      <c r="AV609" s="103"/>
      <c r="AW609" s="103"/>
      <c r="AX609" s="103"/>
      <c r="AY609" s="103"/>
      <c r="AZ609" s="103"/>
      <c r="BA609" s="103"/>
      <c r="BB609" s="103"/>
      <c r="BC609" s="103"/>
      <c r="BD609" s="103"/>
      <c r="BE609" s="103"/>
    </row>
    <row r="610" ht="15.75" customHeight="1">
      <c r="A610" s="174"/>
      <c r="B610" s="180"/>
      <c r="C610" s="183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184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  <c r="AS610" s="103"/>
      <c r="AT610" s="103"/>
      <c r="AU610" s="103"/>
      <c r="AV610" s="103"/>
      <c r="AW610" s="103"/>
      <c r="AX610" s="103"/>
      <c r="AY610" s="103"/>
      <c r="AZ610" s="103"/>
      <c r="BA610" s="103"/>
      <c r="BB610" s="103"/>
      <c r="BC610" s="103"/>
      <c r="BD610" s="103"/>
      <c r="BE610" s="103"/>
    </row>
    <row r="611" ht="15.75" customHeight="1">
      <c r="A611" s="174"/>
      <c r="B611" s="180"/>
      <c r="C611" s="183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184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  <c r="AR611" s="103"/>
      <c r="AS611" s="103"/>
      <c r="AT611" s="103"/>
      <c r="AU611" s="103"/>
      <c r="AV611" s="103"/>
      <c r="AW611" s="103"/>
      <c r="AX611" s="103"/>
      <c r="AY611" s="103"/>
      <c r="AZ611" s="103"/>
      <c r="BA611" s="103"/>
      <c r="BB611" s="103"/>
      <c r="BC611" s="103"/>
      <c r="BD611" s="103"/>
      <c r="BE611" s="103"/>
    </row>
    <row r="612" ht="15.75" customHeight="1">
      <c r="A612" s="174"/>
      <c r="B612" s="180"/>
      <c r="C612" s="183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184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  <c r="AS612" s="103"/>
      <c r="AT612" s="103"/>
      <c r="AU612" s="103"/>
      <c r="AV612" s="103"/>
      <c r="AW612" s="103"/>
      <c r="AX612" s="103"/>
      <c r="AY612" s="103"/>
      <c r="AZ612" s="103"/>
      <c r="BA612" s="103"/>
      <c r="BB612" s="103"/>
      <c r="BC612" s="103"/>
      <c r="BD612" s="103"/>
      <c r="BE612" s="103"/>
    </row>
    <row r="613" ht="15.75" customHeight="1">
      <c r="A613" s="174"/>
      <c r="B613" s="180"/>
      <c r="C613" s="183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184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  <c r="AR613" s="103"/>
      <c r="AS613" s="103"/>
      <c r="AT613" s="103"/>
      <c r="AU613" s="103"/>
      <c r="AV613" s="103"/>
      <c r="AW613" s="103"/>
      <c r="AX613" s="103"/>
      <c r="AY613" s="103"/>
      <c r="AZ613" s="103"/>
      <c r="BA613" s="103"/>
      <c r="BB613" s="103"/>
      <c r="BC613" s="103"/>
      <c r="BD613" s="103"/>
      <c r="BE613" s="103"/>
    </row>
    <row r="614" ht="15.75" customHeight="1">
      <c r="A614" s="174"/>
      <c r="B614" s="180"/>
      <c r="C614" s="183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184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  <c r="AR614" s="103"/>
      <c r="AS614" s="103"/>
      <c r="AT614" s="103"/>
      <c r="AU614" s="103"/>
      <c r="AV614" s="103"/>
      <c r="AW614" s="103"/>
      <c r="AX614" s="103"/>
      <c r="AY614" s="103"/>
      <c r="AZ614" s="103"/>
      <c r="BA614" s="103"/>
      <c r="BB614" s="103"/>
      <c r="BC614" s="103"/>
      <c r="BD614" s="103"/>
      <c r="BE614" s="103"/>
    </row>
    <row r="615" ht="15.75" customHeight="1">
      <c r="A615" s="174"/>
      <c r="B615" s="180"/>
      <c r="C615" s="183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184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  <c r="AR615" s="103"/>
      <c r="AS615" s="103"/>
      <c r="AT615" s="103"/>
      <c r="AU615" s="103"/>
      <c r="AV615" s="103"/>
      <c r="AW615" s="103"/>
      <c r="AX615" s="103"/>
      <c r="AY615" s="103"/>
      <c r="AZ615" s="103"/>
      <c r="BA615" s="103"/>
      <c r="BB615" s="103"/>
      <c r="BC615" s="103"/>
      <c r="BD615" s="103"/>
      <c r="BE615" s="103"/>
    </row>
    <row r="616" ht="15.75" customHeight="1">
      <c r="A616" s="174"/>
      <c r="B616" s="180"/>
      <c r="C616" s="183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184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  <c r="AR616" s="103"/>
      <c r="AS616" s="103"/>
      <c r="AT616" s="103"/>
      <c r="AU616" s="103"/>
      <c r="AV616" s="103"/>
      <c r="AW616" s="103"/>
      <c r="AX616" s="103"/>
      <c r="AY616" s="103"/>
      <c r="AZ616" s="103"/>
      <c r="BA616" s="103"/>
      <c r="BB616" s="103"/>
      <c r="BC616" s="103"/>
      <c r="BD616" s="103"/>
      <c r="BE616" s="103"/>
    </row>
    <row r="617" ht="15.75" customHeight="1">
      <c r="A617" s="174"/>
      <c r="B617" s="180"/>
      <c r="C617" s="183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184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  <c r="AR617" s="103"/>
      <c r="AS617" s="103"/>
      <c r="AT617" s="103"/>
      <c r="AU617" s="103"/>
      <c r="AV617" s="103"/>
      <c r="AW617" s="103"/>
      <c r="AX617" s="103"/>
      <c r="AY617" s="103"/>
      <c r="AZ617" s="103"/>
      <c r="BA617" s="103"/>
      <c r="BB617" s="103"/>
      <c r="BC617" s="103"/>
      <c r="BD617" s="103"/>
      <c r="BE617" s="103"/>
    </row>
    <row r="618" ht="15.75" customHeight="1">
      <c r="A618" s="174"/>
      <c r="B618" s="180"/>
      <c r="C618" s="183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184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  <c r="AR618" s="103"/>
      <c r="AS618" s="103"/>
      <c r="AT618" s="103"/>
      <c r="AU618" s="103"/>
      <c r="AV618" s="103"/>
      <c r="AW618" s="103"/>
      <c r="AX618" s="103"/>
      <c r="AY618" s="103"/>
      <c r="AZ618" s="103"/>
      <c r="BA618" s="103"/>
      <c r="BB618" s="103"/>
      <c r="BC618" s="103"/>
      <c r="BD618" s="103"/>
      <c r="BE618" s="103"/>
    </row>
    <row r="619" ht="15.75" customHeight="1">
      <c r="A619" s="174"/>
      <c r="B619" s="180"/>
      <c r="C619" s="183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184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  <c r="AR619" s="103"/>
      <c r="AS619" s="103"/>
      <c r="AT619" s="103"/>
      <c r="AU619" s="103"/>
      <c r="AV619" s="103"/>
      <c r="AW619" s="103"/>
      <c r="AX619" s="103"/>
      <c r="AY619" s="103"/>
      <c r="AZ619" s="103"/>
      <c r="BA619" s="103"/>
      <c r="BB619" s="103"/>
      <c r="BC619" s="103"/>
      <c r="BD619" s="103"/>
      <c r="BE619" s="103"/>
    </row>
    <row r="620" ht="15.75" customHeight="1">
      <c r="A620" s="174"/>
      <c r="B620" s="180"/>
      <c r="C620" s="183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184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  <c r="AR620" s="103"/>
      <c r="AS620" s="103"/>
      <c r="AT620" s="103"/>
      <c r="AU620" s="103"/>
      <c r="AV620" s="103"/>
      <c r="AW620" s="103"/>
      <c r="AX620" s="103"/>
      <c r="AY620" s="103"/>
      <c r="AZ620" s="103"/>
      <c r="BA620" s="103"/>
      <c r="BB620" s="103"/>
      <c r="BC620" s="103"/>
      <c r="BD620" s="103"/>
      <c r="BE620" s="103"/>
    </row>
    <row r="621" ht="15.75" customHeight="1">
      <c r="A621" s="174"/>
      <c r="B621" s="180"/>
      <c r="C621" s="183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184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  <c r="AS621" s="103"/>
      <c r="AT621" s="103"/>
      <c r="AU621" s="103"/>
      <c r="AV621" s="103"/>
      <c r="AW621" s="103"/>
      <c r="AX621" s="103"/>
      <c r="AY621" s="103"/>
      <c r="AZ621" s="103"/>
      <c r="BA621" s="103"/>
      <c r="BB621" s="103"/>
      <c r="BC621" s="103"/>
      <c r="BD621" s="103"/>
      <c r="BE621" s="103"/>
    </row>
    <row r="622" ht="15.75" customHeight="1">
      <c r="A622" s="174"/>
      <c r="B622" s="180"/>
      <c r="C622" s="183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184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  <c r="AS622" s="103"/>
      <c r="AT622" s="103"/>
      <c r="AU622" s="103"/>
      <c r="AV622" s="103"/>
      <c r="AW622" s="103"/>
      <c r="AX622" s="103"/>
      <c r="AY622" s="103"/>
      <c r="AZ622" s="103"/>
      <c r="BA622" s="103"/>
      <c r="BB622" s="103"/>
      <c r="BC622" s="103"/>
      <c r="BD622" s="103"/>
      <c r="BE622" s="103"/>
    </row>
    <row r="623" ht="15.75" customHeight="1">
      <c r="A623" s="174"/>
      <c r="B623" s="180"/>
      <c r="C623" s="183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184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3"/>
      <c r="AV623" s="103"/>
      <c r="AW623" s="103"/>
      <c r="AX623" s="103"/>
      <c r="AY623" s="103"/>
      <c r="AZ623" s="103"/>
      <c r="BA623" s="103"/>
      <c r="BB623" s="103"/>
      <c r="BC623" s="103"/>
      <c r="BD623" s="103"/>
      <c r="BE623" s="103"/>
    </row>
    <row r="624" ht="15.75" customHeight="1">
      <c r="A624" s="174"/>
      <c r="B624" s="180"/>
      <c r="C624" s="183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184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  <c r="AR624" s="103"/>
      <c r="AS624" s="103"/>
      <c r="AT624" s="103"/>
      <c r="AU624" s="103"/>
      <c r="AV624" s="103"/>
      <c r="AW624" s="103"/>
      <c r="AX624" s="103"/>
      <c r="AY624" s="103"/>
      <c r="AZ624" s="103"/>
      <c r="BA624" s="103"/>
      <c r="BB624" s="103"/>
      <c r="BC624" s="103"/>
      <c r="BD624" s="103"/>
      <c r="BE624" s="103"/>
    </row>
    <row r="625" ht="15.75" customHeight="1">
      <c r="A625" s="174"/>
      <c r="B625" s="180"/>
      <c r="C625" s="183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184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  <c r="AR625" s="103"/>
      <c r="AS625" s="103"/>
      <c r="AT625" s="103"/>
      <c r="AU625" s="103"/>
      <c r="AV625" s="103"/>
      <c r="AW625" s="103"/>
      <c r="AX625" s="103"/>
      <c r="AY625" s="103"/>
      <c r="AZ625" s="103"/>
      <c r="BA625" s="103"/>
      <c r="BB625" s="103"/>
      <c r="BC625" s="103"/>
      <c r="BD625" s="103"/>
      <c r="BE625" s="103"/>
    </row>
    <row r="626" ht="15.75" customHeight="1">
      <c r="A626" s="174"/>
      <c r="B626" s="180"/>
      <c r="C626" s="183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184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  <c r="AR626" s="103"/>
      <c r="AS626" s="103"/>
      <c r="AT626" s="103"/>
      <c r="AU626" s="103"/>
      <c r="AV626" s="103"/>
      <c r="AW626" s="103"/>
      <c r="AX626" s="103"/>
      <c r="AY626" s="103"/>
      <c r="AZ626" s="103"/>
      <c r="BA626" s="103"/>
      <c r="BB626" s="103"/>
      <c r="BC626" s="103"/>
      <c r="BD626" s="103"/>
      <c r="BE626" s="103"/>
    </row>
    <row r="627" ht="15.75" customHeight="1">
      <c r="A627" s="174"/>
      <c r="B627" s="180"/>
      <c r="C627" s="183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184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  <c r="AR627" s="103"/>
      <c r="AS627" s="103"/>
      <c r="AT627" s="103"/>
      <c r="AU627" s="103"/>
      <c r="AV627" s="103"/>
      <c r="AW627" s="103"/>
      <c r="AX627" s="103"/>
      <c r="AY627" s="103"/>
      <c r="AZ627" s="103"/>
      <c r="BA627" s="103"/>
      <c r="BB627" s="103"/>
      <c r="BC627" s="103"/>
      <c r="BD627" s="103"/>
      <c r="BE627" s="103"/>
    </row>
    <row r="628" ht="15.75" customHeight="1">
      <c r="A628" s="174"/>
      <c r="B628" s="180"/>
      <c r="C628" s="183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184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  <c r="AR628" s="103"/>
      <c r="AS628" s="103"/>
      <c r="AT628" s="103"/>
      <c r="AU628" s="103"/>
      <c r="AV628" s="103"/>
      <c r="AW628" s="103"/>
      <c r="AX628" s="103"/>
      <c r="AY628" s="103"/>
      <c r="AZ628" s="103"/>
      <c r="BA628" s="103"/>
      <c r="BB628" s="103"/>
      <c r="BC628" s="103"/>
      <c r="BD628" s="103"/>
      <c r="BE628" s="103"/>
    </row>
    <row r="629" ht="15.75" customHeight="1">
      <c r="A629" s="174"/>
      <c r="B629" s="180"/>
      <c r="C629" s="183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184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  <c r="AR629" s="103"/>
      <c r="AS629" s="103"/>
      <c r="AT629" s="103"/>
      <c r="AU629" s="103"/>
      <c r="AV629" s="103"/>
      <c r="AW629" s="103"/>
      <c r="AX629" s="103"/>
      <c r="AY629" s="103"/>
      <c r="AZ629" s="103"/>
      <c r="BA629" s="103"/>
      <c r="BB629" s="103"/>
      <c r="BC629" s="103"/>
      <c r="BD629" s="103"/>
      <c r="BE629" s="103"/>
    </row>
    <row r="630" ht="15.75" customHeight="1">
      <c r="A630" s="174"/>
      <c r="B630" s="180"/>
      <c r="C630" s="183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184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  <c r="AR630" s="103"/>
      <c r="AS630" s="103"/>
      <c r="AT630" s="103"/>
      <c r="AU630" s="103"/>
      <c r="AV630" s="103"/>
      <c r="AW630" s="103"/>
      <c r="AX630" s="103"/>
      <c r="AY630" s="103"/>
      <c r="AZ630" s="103"/>
      <c r="BA630" s="103"/>
      <c r="BB630" s="103"/>
      <c r="BC630" s="103"/>
      <c r="BD630" s="103"/>
      <c r="BE630" s="103"/>
    </row>
    <row r="631" ht="15.75" customHeight="1">
      <c r="A631" s="174"/>
      <c r="B631" s="180"/>
      <c r="C631" s="183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184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  <c r="AR631" s="103"/>
      <c r="AS631" s="103"/>
      <c r="AT631" s="103"/>
      <c r="AU631" s="103"/>
      <c r="AV631" s="103"/>
      <c r="AW631" s="103"/>
      <c r="AX631" s="103"/>
      <c r="AY631" s="103"/>
      <c r="AZ631" s="103"/>
      <c r="BA631" s="103"/>
      <c r="BB631" s="103"/>
      <c r="BC631" s="103"/>
      <c r="BD631" s="103"/>
      <c r="BE631" s="103"/>
    </row>
    <row r="632" ht="15.75" customHeight="1">
      <c r="A632" s="174"/>
      <c r="B632" s="180"/>
      <c r="C632" s="183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184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  <c r="AR632" s="103"/>
      <c r="AS632" s="103"/>
      <c r="AT632" s="103"/>
      <c r="AU632" s="103"/>
      <c r="AV632" s="103"/>
      <c r="AW632" s="103"/>
      <c r="AX632" s="103"/>
      <c r="AY632" s="103"/>
      <c r="AZ632" s="103"/>
      <c r="BA632" s="103"/>
      <c r="BB632" s="103"/>
      <c r="BC632" s="103"/>
      <c r="BD632" s="103"/>
      <c r="BE632" s="103"/>
    </row>
    <row r="633" ht="15.75" customHeight="1">
      <c r="A633" s="174"/>
      <c r="B633" s="180"/>
      <c r="C633" s="183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184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  <c r="AR633" s="103"/>
      <c r="AS633" s="103"/>
      <c r="AT633" s="103"/>
      <c r="AU633" s="103"/>
      <c r="AV633" s="103"/>
      <c r="AW633" s="103"/>
      <c r="AX633" s="103"/>
      <c r="AY633" s="103"/>
      <c r="AZ633" s="103"/>
      <c r="BA633" s="103"/>
      <c r="BB633" s="103"/>
      <c r="BC633" s="103"/>
      <c r="BD633" s="103"/>
      <c r="BE633" s="103"/>
    </row>
    <row r="634" ht="15.75" customHeight="1">
      <c r="A634" s="174"/>
      <c r="B634" s="180"/>
      <c r="C634" s="183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184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  <c r="AR634" s="103"/>
      <c r="AS634" s="103"/>
      <c r="AT634" s="103"/>
      <c r="AU634" s="103"/>
      <c r="AV634" s="103"/>
      <c r="AW634" s="103"/>
      <c r="AX634" s="103"/>
      <c r="AY634" s="103"/>
      <c r="AZ634" s="103"/>
      <c r="BA634" s="103"/>
      <c r="BB634" s="103"/>
      <c r="BC634" s="103"/>
      <c r="BD634" s="103"/>
      <c r="BE634" s="103"/>
    </row>
    <row r="635" ht="15.75" customHeight="1">
      <c r="A635" s="174"/>
      <c r="B635" s="180"/>
      <c r="C635" s="183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184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  <c r="AR635" s="103"/>
      <c r="AS635" s="103"/>
      <c r="AT635" s="103"/>
      <c r="AU635" s="103"/>
      <c r="AV635" s="103"/>
      <c r="AW635" s="103"/>
      <c r="AX635" s="103"/>
      <c r="AY635" s="103"/>
      <c r="AZ635" s="103"/>
      <c r="BA635" s="103"/>
      <c r="BB635" s="103"/>
      <c r="BC635" s="103"/>
      <c r="BD635" s="103"/>
      <c r="BE635" s="103"/>
    </row>
    <row r="636" ht="15.75" customHeight="1">
      <c r="A636" s="174"/>
      <c r="B636" s="180"/>
      <c r="C636" s="183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184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  <c r="AR636" s="103"/>
      <c r="AS636" s="103"/>
      <c r="AT636" s="103"/>
      <c r="AU636" s="103"/>
      <c r="AV636" s="103"/>
      <c r="AW636" s="103"/>
      <c r="AX636" s="103"/>
      <c r="AY636" s="103"/>
      <c r="AZ636" s="103"/>
      <c r="BA636" s="103"/>
      <c r="BB636" s="103"/>
      <c r="BC636" s="103"/>
      <c r="BD636" s="103"/>
      <c r="BE636" s="103"/>
    </row>
    <row r="637" ht="15.75" customHeight="1">
      <c r="A637" s="174"/>
      <c r="B637" s="180"/>
      <c r="C637" s="183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184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  <c r="AR637" s="103"/>
      <c r="AS637" s="103"/>
      <c r="AT637" s="103"/>
      <c r="AU637" s="103"/>
      <c r="AV637" s="103"/>
      <c r="AW637" s="103"/>
      <c r="AX637" s="103"/>
      <c r="AY637" s="103"/>
      <c r="AZ637" s="103"/>
      <c r="BA637" s="103"/>
      <c r="BB637" s="103"/>
      <c r="BC637" s="103"/>
      <c r="BD637" s="103"/>
      <c r="BE637" s="103"/>
    </row>
    <row r="638" ht="15.75" customHeight="1">
      <c r="A638" s="174"/>
      <c r="B638" s="180"/>
      <c r="C638" s="183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184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  <c r="AR638" s="103"/>
      <c r="AS638" s="103"/>
      <c r="AT638" s="103"/>
      <c r="AU638" s="103"/>
      <c r="AV638" s="103"/>
      <c r="AW638" s="103"/>
      <c r="AX638" s="103"/>
      <c r="AY638" s="103"/>
      <c r="AZ638" s="103"/>
      <c r="BA638" s="103"/>
      <c r="BB638" s="103"/>
      <c r="BC638" s="103"/>
      <c r="BD638" s="103"/>
      <c r="BE638" s="103"/>
    </row>
    <row r="639" ht="15.75" customHeight="1">
      <c r="A639" s="174"/>
      <c r="B639" s="180"/>
      <c r="C639" s="183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184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  <c r="AR639" s="103"/>
      <c r="AS639" s="103"/>
      <c r="AT639" s="103"/>
      <c r="AU639" s="103"/>
      <c r="AV639" s="103"/>
      <c r="AW639" s="103"/>
      <c r="AX639" s="103"/>
      <c r="AY639" s="103"/>
      <c r="AZ639" s="103"/>
      <c r="BA639" s="103"/>
      <c r="BB639" s="103"/>
      <c r="BC639" s="103"/>
      <c r="BD639" s="103"/>
      <c r="BE639" s="103"/>
    </row>
    <row r="640" ht="15.75" customHeight="1">
      <c r="A640" s="174"/>
      <c r="B640" s="180"/>
      <c r="C640" s="183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184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  <c r="AR640" s="103"/>
      <c r="AS640" s="103"/>
      <c r="AT640" s="103"/>
      <c r="AU640" s="103"/>
      <c r="AV640" s="103"/>
      <c r="AW640" s="103"/>
      <c r="AX640" s="103"/>
      <c r="AY640" s="103"/>
      <c r="AZ640" s="103"/>
      <c r="BA640" s="103"/>
      <c r="BB640" s="103"/>
      <c r="BC640" s="103"/>
      <c r="BD640" s="103"/>
      <c r="BE640" s="103"/>
    </row>
    <row r="641" ht="15.75" customHeight="1">
      <c r="A641" s="174"/>
      <c r="B641" s="180"/>
      <c r="C641" s="183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184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  <c r="AR641" s="103"/>
      <c r="AS641" s="103"/>
      <c r="AT641" s="103"/>
      <c r="AU641" s="103"/>
      <c r="AV641" s="103"/>
      <c r="AW641" s="103"/>
      <c r="AX641" s="103"/>
      <c r="AY641" s="103"/>
      <c r="AZ641" s="103"/>
      <c r="BA641" s="103"/>
      <c r="BB641" s="103"/>
      <c r="BC641" s="103"/>
      <c r="BD641" s="103"/>
      <c r="BE641" s="103"/>
    </row>
    <row r="642" ht="15.75" customHeight="1">
      <c r="A642" s="174"/>
      <c r="B642" s="180"/>
      <c r="C642" s="183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184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  <c r="AR642" s="103"/>
      <c r="AS642" s="103"/>
      <c r="AT642" s="103"/>
      <c r="AU642" s="103"/>
      <c r="AV642" s="103"/>
      <c r="AW642" s="103"/>
      <c r="AX642" s="103"/>
      <c r="AY642" s="103"/>
      <c r="AZ642" s="103"/>
      <c r="BA642" s="103"/>
      <c r="BB642" s="103"/>
      <c r="BC642" s="103"/>
      <c r="BD642" s="103"/>
      <c r="BE642" s="103"/>
    </row>
    <row r="643" ht="15.75" customHeight="1">
      <c r="A643" s="174"/>
      <c r="B643" s="180"/>
      <c r="C643" s="183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184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  <c r="AR643" s="103"/>
      <c r="AS643" s="103"/>
      <c r="AT643" s="103"/>
      <c r="AU643" s="103"/>
      <c r="AV643" s="103"/>
      <c r="AW643" s="103"/>
      <c r="AX643" s="103"/>
      <c r="AY643" s="103"/>
      <c r="AZ643" s="103"/>
      <c r="BA643" s="103"/>
      <c r="BB643" s="103"/>
      <c r="BC643" s="103"/>
      <c r="BD643" s="103"/>
      <c r="BE643" s="103"/>
    </row>
    <row r="644" ht="15.75" customHeight="1">
      <c r="A644" s="174"/>
      <c r="B644" s="180"/>
      <c r="C644" s="183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184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  <c r="AR644" s="103"/>
      <c r="AS644" s="103"/>
      <c r="AT644" s="103"/>
      <c r="AU644" s="103"/>
      <c r="AV644" s="103"/>
      <c r="AW644" s="103"/>
      <c r="AX644" s="103"/>
      <c r="AY644" s="103"/>
      <c r="AZ644" s="103"/>
      <c r="BA644" s="103"/>
      <c r="BB644" s="103"/>
      <c r="BC644" s="103"/>
      <c r="BD644" s="103"/>
      <c r="BE644" s="103"/>
    </row>
    <row r="645" ht="15.75" customHeight="1">
      <c r="A645" s="174"/>
      <c r="B645" s="180"/>
      <c r="C645" s="183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184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  <c r="AR645" s="103"/>
      <c r="AS645" s="103"/>
      <c r="AT645" s="103"/>
      <c r="AU645" s="103"/>
      <c r="AV645" s="103"/>
      <c r="AW645" s="103"/>
      <c r="AX645" s="103"/>
      <c r="AY645" s="103"/>
      <c r="AZ645" s="103"/>
      <c r="BA645" s="103"/>
      <c r="BB645" s="103"/>
      <c r="BC645" s="103"/>
      <c r="BD645" s="103"/>
      <c r="BE645" s="103"/>
    </row>
    <row r="646" ht="15.75" customHeight="1">
      <c r="A646" s="174"/>
      <c r="B646" s="180"/>
      <c r="C646" s="183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184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  <c r="AR646" s="103"/>
      <c r="AS646" s="103"/>
      <c r="AT646" s="103"/>
      <c r="AU646" s="103"/>
      <c r="AV646" s="103"/>
      <c r="AW646" s="103"/>
      <c r="AX646" s="103"/>
      <c r="AY646" s="103"/>
      <c r="AZ646" s="103"/>
      <c r="BA646" s="103"/>
      <c r="BB646" s="103"/>
      <c r="BC646" s="103"/>
      <c r="BD646" s="103"/>
      <c r="BE646" s="103"/>
    </row>
    <row r="647" ht="15.75" customHeight="1">
      <c r="A647" s="174"/>
      <c r="B647" s="180"/>
      <c r="C647" s="183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184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</row>
    <row r="648" ht="15.75" customHeight="1">
      <c r="A648" s="174"/>
      <c r="B648" s="180"/>
      <c r="C648" s="183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184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  <c r="AR648" s="103"/>
      <c r="AS648" s="103"/>
      <c r="AT648" s="103"/>
      <c r="AU648" s="103"/>
      <c r="AV648" s="103"/>
      <c r="AW648" s="103"/>
      <c r="AX648" s="103"/>
      <c r="AY648" s="103"/>
      <c r="AZ648" s="103"/>
      <c r="BA648" s="103"/>
      <c r="BB648" s="103"/>
      <c r="BC648" s="103"/>
      <c r="BD648" s="103"/>
      <c r="BE648" s="103"/>
    </row>
    <row r="649" ht="15.75" customHeight="1">
      <c r="A649" s="174"/>
      <c r="B649" s="180"/>
      <c r="C649" s="183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184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  <c r="AR649" s="103"/>
      <c r="AS649" s="103"/>
      <c r="AT649" s="103"/>
      <c r="AU649" s="103"/>
      <c r="AV649" s="103"/>
      <c r="AW649" s="103"/>
      <c r="AX649" s="103"/>
      <c r="AY649" s="103"/>
      <c r="AZ649" s="103"/>
      <c r="BA649" s="103"/>
      <c r="BB649" s="103"/>
      <c r="BC649" s="103"/>
      <c r="BD649" s="103"/>
      <c r="BE649" s="103"/>
    </row>
    <row r="650" ht="15.75" customHeight="1">
      <c r="A650" s="174"/>
      <c r="B650" s="180"/>
      <c r="C650" s="183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184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  <c r="AR650" s="103"/>
      <c r="AS650" s="103"/>
      <c r="AT650" s="103"/>
      <c r="AU650" s="103"/>
      <c r="AV650" s="103"/>
      <c r="AW650" s="103"/>
      <c r="AX650" s="103"/>
      <c r="AY650" s="103"/>
      <c r="AZ650" s="103"/>
      <c r="BA650" s="103"/>
      <c r="BB650" s="103"/>
      <c r="BC650" s="103"/>
      <c r="BD650" s="103"/>
      <c r="BE650" s="103"/>
    </row>
    <row r="651" ht="15.75" customHeight="1">
      <c r="A651" s="174"/>
      <c r="B651" s="180"/>
      <c r="C651" s="183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184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  <c r="AR651" s="103"/>
      <c r="AS651" s="103"/>
      <c r="AT651" s="103"/>
      <c r="AU651" s="103"/>
      <c r="AV651" s="103"/>
      <c r="AW651" s="103"/>
      <c r="AX651" s="103"/>
      <c r="AY651" s="103"/>
      <c r="AZ651" s="103"/>
      <c r="BA651" s="103"/>
      <c r="BB651" s="103"/>
      <c r="BC651" s="103"/>
      <c r="BD651" s="103"/>
      <c r="BE651" s="103"/>
    </row>
    <row r="652" ht="15.75" customHeight="1">
      <c r="A652" s="174"/>
      <c r="B652" s="180"/>
      <c r="C652" s="183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184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  <c r="AR652" s="103"/>
      <c r="AS652" s="103"/>
      <c r="AT652" s="103"/>
      <c r="AU652" s="103"/>
      <c r="AV652" s="103"/>
      <c r="AW652" s="103"/>
      <c r="AX652" s="103"/>
      <c r="AY652" s="103"/>
      <c r="AZ652" s="103"/>
      <c r="BA652" s="103"/>
      <c r="BB652" s="103"/>
      <c r="BC652" s="103"/>
      <c r="BD652" s="103"/>
      <c r="BE652" s="103"/>
    </row>
    <row r="653" ht="15.75" customHeight="1">
      <c r="A653" s="174"/>
      <c r="B653" s="180"/>
      <c r="C653" s="183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184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  <c r="AR653" s="103"/>
      <c r="AS653" s="103"/>
      <c r="AT653" s="103"/>
      <c r="AU653" s="103"/>
      <c r="AV653" s="103"/>
      <c r="AW653" s="103"/>
      <c r="AX653" s="103"/>
      <c r="AY653" s="103"/>
      <c r="AZ653" s="103"/>
      <c r="BA653" s="103"/>
      <c r="BB653" s="103"/>
      <c r="BC653" s="103"/>
      <c r="BD653" s="103"/>
      <c r="BE653" s="103"/>
    </row>
    <row r="654" ht="15.75" customHeight="1">
      <c r="A654" s="174"/>
      <c r="B654" s="180"/>
      <c r="C654" s="183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184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  <c r="AS654" s="103"/>
      <c r="AT654" s="103"/>
      <c r="AU654" s="103"/>
      <c r="AV654" s="103"/>
      <c r="AW654" s="103"/>
      <c r="AX654" s="103"/>
      <c r="AY654" s="103"/>
      <c r="AZ654" s="103"/>
      <c r="BA654" s="103"/>
      <c r="BB654" s="103"/>
      <c r="BC654" s="103"/>
      <c r="BD654" s="103"/>
      <c r="BE654" s="103"/>
    </row>
    <row r="655" ht="15.75" customHeight="1">
      <c r="A655" s="174"/>
      <c r="B655" s="180"/>
      <c r="C655" s="183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184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  <c r="AR655" s="103"/>
      <c r="AS655" s="103"/>
      <c r="AT655" s="103"/>
      <c r="AU655" s="103"/>
      <c r="AV655" s="103"/>
      <c r="AW655" s="103"/>
      <c r="AX655" s="103"/>
      <c r="AY655" s="103"/>
      <c r="AZ655" s="103"/>
      <c r="BA655" s="103"/>
      <c r="BB655" s="103"/>
      <c r="BC655" s="103"/>
      <c r="BD655" s="103"/>
      <c r="BE655" s="103"/>
    </row>
    <row r="656" ht="15.75" customHeight="1">
      <c r="A656" s="174"/>
      <c r="B656" s="180"/>
      <c r="C656" s="183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184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  <c r="AR656" s="103"/>
      <c r="AS656" s="103"/>
      <c r="AT656" s="103"/>
      <c r="AU656" s="103"/>
      <c r="AV656" s="103"/>
      <c r="AW656" s="103"/>
      <c r="AX656" s="103"/>
      <c r="AY656" s="103"/>
      <c r="AZ656" s="103"/>
      <c r="BA656" s="103"/>
      <c r="BB656" s="103"/>
      <c r="BC656" s="103"/>
      <c r="BD656" s="103"/>
      <c r="BE656" s="103"/>
    </row>
    <row r="657" ht="15.75" customHeight="1">
      <c r="A657" s="174"/>
      <c r="B657" s="180"/>
      <c r="C657" s="183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184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  <c r="AR657" s="103"/>
      <c r="AS657" s="103"/>
      <c r="AT657" s="103"/>
      <c r="AU657" s="103"/>
      <c r="AV657" s="103"/>
      <c r="AW657" s="103"/>
      <c r="AX657" s="103"/>
      <c r="AY657" s="103"/>
      <c r="AZ657" s="103"/>
      <c r="BA657" s="103"/>
      <c r="BB657" s="103"/>
      <c r="BC657" s="103"/>
      <c r="BD657" s="103"/>
      <c r="BE657" s="103"/>
    </row>
    <row r="658" ht="15.75" customHeight="1">
      <c r="A658" s="174"/>
      <c r="B658" s="180"/>
      <c r="C658" s="183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184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  <c r="AR658" s="103"/>
      <c r="AS658" s="103"/>
      <c r="AT658" s="103"/>
      <c r="AU658" s="103"/>
      <c r="AV658" s="103"/>
      <c r="AW658" s="103"/>
      <c r="AX658" s="103"/>
      <c r="AY658" s="103"/>
      <c r="AZ658" s="103"/>
      <c r="BA658" s="103"/>
      <c r="BB658" s="103"/>
      <c r="BC658" s="103"/>
      <c r="BD658" s="103"/>
      <c r="BE658" s="103"/>
    </row>
    <row r="659" ht="15.75" customHeight="1">
      <c r="A659" s="174"/>
      <c r="B659" s="180"/>
      <c r="C659" s="183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184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  <c r="AR659" s="103"/>
      <c r="AS659" s="103"/>
      <c r="AT659" s="103"/>
      <c r="AU659" s="103"/>
      <c r="AV659" s="103"/>
      <c r="AW659" s="103"/>
      <c r="AX659" s="103"/>
      <c r="AY659" s="103"/>
      <c r="AZ659" s="103"/>
      <c r="BA659" s="103"/>
      <c r="BB659" s="103"/>
      <c r="BC659" s="103"/>
      <c r="BD659" s="103"/>
      <c r="BE659" s="103"/>
    </row>
    <row r="660" ht="15.75" customHeight="1">
      <c r="A660" s="174"/>
      <c r="B660" s="180"/>
      <c r="C660" s="183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184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  <c r="AR660" s="103"/>
      <c r="AS660" s="103"/>
      <c r="AT660" s="103"/>
      <c r="AU660" s="103"/>
      <c r="AV660" s="103"/>
      <c r="AW660" s="103"/>
      <c r="AX660" s="103"/>
      <c r="AY660" s="103"/>
      <c r="AZ660" s="103"/>
      <c r="BA660" s="103"/>
      <c r="BB660" s="103"/>
      <c r="BC660" s="103"/>
      <c r="BD660" s="103"/>
      <c r="BE660" s="103"/>
    </row>
    <row r="661" ht="15.75" customHeight="1">
      <c r="A661" s="174"/>
      <c r="B661" s="180"/>
      <c r="C661" s="183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184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  <c r="AR661" s="103"/>
      <c r="AS661" s="103"/>
      <c r="AT661" s="103"/>
      <c r="AU661" s="103"/>
      <c r="AV661" s="103"/>
      <c r="AW661" s="103"/>
      <c r="AX661" s="103"/>
      <c r="AY661" s="103"/>
      <c r="AZ661" s="103"/>
      <c r="BA661" s="103"/>
      <c r="BB661" s="103"/>
      <c r="BC661" s="103"/>
      <c r="BD661" s="103"/>
      <c r="BE661" s="103"/>
    </row>
    <row r="662" ht="15.75" customHeight="1">
      <c r="A662" s="174"/>
      <c r="B662" s="180"/>
      <c r="C662" s="183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184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  <c r="AR662" s="103"/>
      <c r="AS662" s="103"/>
      <c r="AT662" s="103"/>
      <c r="AU662" s="103"/>
      <c r="AV662" s="103"/>
      <c r="AW662" s="103"/>
      <c r="AX662" s="103"/>
      <c r="AY662" s="103"/>
      <c r="AZ662" s="103"/>
      <c r="BA662" s="103"/>
      <c r="BB662" s="103"/>
      <c r="BC662" s="103"/>
      <c r="BD662" s="103"/>
      <c r="BE662" s="103"/>
    </row>
    <row r="663" ht="15.75" customHeight="1">
      <c r="A663" s="174"/>
      <c r="B663" s="180"/>
      <c r="C663" s="183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184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  <c r="AR663" s="103"/>
      <c r="AS663" s="103"/>
      <c r="AT663" s="103"/>
      <c r="AU663" s="103"/>
      <c r="AV663" s="103"/>
      <c r="AW663" s="103"/>
      <c r="AX663" s="103"/>
      <c r="AY663" s="103"/>
      <c r="AZ663" s="103"/>
      <c r="BA663" s="103"/>
      <c r="BB663" s="103"/>
      <c r="BC663" s="103"/>
      <c r="BD663" s="103"/>
      <c r="BE663" s="103"/>
    </row>
    <row r="664" ht="15.75" customHeight="1">
      <c r="A664" s="174"/>
      <c r="B664" s="180"/>
      <c r="C664" s="183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184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  <c r="AS664" s="103"/>
      <c r="AT664" s="103"/>
      <c r="AU664" s="103"/>
      <c r="AV664" s="103"/>
      <c r="AW664" s="103"/>
      <c r="AX664" s="103"/>
      <c r="AY664" s="103"/>
      <c r="AZ664" s="103"/>
      <c r="BA664" s="103"/>
      <c r="BB664" s="103"/>
      <c r="BC664" s="103"/>
      <c r="BD664" s="103"/>
      <c r="BE664" s="103"/>
    </row>
    <row r="665" ht="15.75" customHeight="1">
      <c r="A665" s="174"/>
      <c r="B665" s="180"/>
      <c r="C665" s="183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184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  <c r="AR665" s="103"/>
      <c r="AS665" s="103"/>
      <c r="AT665" s="103"/>
      <c r="AU665" s="103"/>
      <c r="AV665" s="103"/>
      <c r="AW665" s="103"/>
      <c r="AX665" s="103"/>
      <c r="AY665" s="103"/>
      <c r="AZ665" s="103"/>
      <c r="BA665" s="103"/>
      <c r="BB665" s="103"/>
      <c r="BC665" s="103"/>
      <c r="BD665" s="103"/>
      <c r="BE665" s="103"/>
    </row>
    <row r="666" ht="15.75" customHeight="1">
      <c r="A666" s="174"/>
      <c r="B666" s="180"/>
      <c r="C666" s="183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184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  <c r="AR666" s="103"/>
      <c r="AS666" s="103"/>
      <c r="AT666" s="103"/>
      <c r="AU666" s="103"/>
      <c r="AV666" s="103"/>
      <c r="AW666" s="103"/>
      <c r="AX666" s="103"/>
      <c r="AY666" s="103"/>
      <c r="AZ666" s="103"/>
      <c r="BA666" s="103"/>
      <c r="BB666" s="103"/>
      <c r="BC666" s="103"/>
      <c r="BD666" s="103"/>
      <c r="BE666" s="103"/>
    </row>
    <row r="667" ht="15.75" customHeight="1">
      <c r="A667" s="174"/>
      <c r="B667" s="180"/>
      <c r="C667" s="183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184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  <c r="AR667" s="103"/>
      <c r="AS667" s="103"/>
      <c r="AT667" s="103"/>
      <c r="AU667" s="103"/>
      <c r="AV667" s="103"/>
      <c r="AW667" s="103"/>
      <c r="AX667" s="103"/>
      <c r="AY667" s="103"/>
      <c r="AZ667" s="103"/>
      <c r="BA667" s="103"/>
      <c r="BB667" s="103"/>
      <c r="BC667" s="103"/>
      <c r="BD667" s="103"/>
      <c r="BE667" s="103"/>
    </row>
    <row r="668" ht="15.75" customHeight="1">
      <c r="A668" s="174"/>
      <c r="B668" s="180"/>
      <c r="C668" s="183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184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  <c r="AS668" s="103"/>
      <c r="AT668" s="103"/>
      <c r="AU668" s="103"/>
      <c r="AV668" s="103"/>
      <c r="AW668" s="103"/>
      <c r="AX668" s="103"/>
      <c r="AY668" s="103"/>
      <c r="AZ668" s="103"/>
      <c r="BA668" s="103"/>
      <c r="BB668" s="103"/>
      <c r="BC668" s="103"/>
      <c r="BD668" s="103"/>
      <c r="BE668" s="103"/>
    </row>
    <row r="669" ht="15.75" customHeight="1">
      <c r="A669" s="174"/>
      <c r="B669" s="180"/>
      <c r="C669" s="183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184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  <c r="AR669" s="103"/>
      <c r="AS669" s="103"/>
      <c r="AT669" s="103"/>
      <c r="AU669" s="103"/>
      <c r="AV669" s="103"/>
      <c r="AW669" s="103"/>
      <c r="AX669" s="103"/>
      <c r="AY669" s="103"/>
      <c r="AZ669" s="103"/>
      <c r="BA669" s="103"/>
      <c r="BB669" s="103"/>
      <c r="BC669" s="103"/>
      <c r="BD669" s="103"/>
      <c r="BE669" s="103"/>
    </row>
    <row r="670" ht="15.75" customHeight="1">
      <c r="A670" s="174"/>
      <c r="B670" s="180"/>
      <c r="C670" s="183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184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  <c r="AR670" s="103"/>
      <c r="AS670" s="103"/>
      <c r="AT670" s="103"/>
      <c r="AU670" s="103"/>
      <c r="AV670" s="103"/>
      <c r="AW670" s="103"/>
      <c r="AX670" s="103"/>
      <c r="AY670" s="103"/>
      <c r="AZ670" s="103"/>
      <c r="BA670" s="103"/>
      <c r="BB670" s="103"/>
      <c r="BC670" s="103"/>
      <c r="BD670" s="103"/>
      <c r="BE670" s="103"/>
    </row>
    <row r="671" ht="15.75" customHeight="1">
      <c r="A671" s="174"/>
      <c r="B671" s="180"/>
      <c r="C671" s="183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184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  <c r="AR671" s="103"/>
      <c r="AS671" s="103"/>
      <c r="AT671" s="103"/>
      <c r="AU671" s="103"/>
      <c r="AV671" s="103"/>
      <c r="AW671" s="103"/>
      <c r="AX671" s="103"/>
      <c r="AY671" s="103"/>
      <c r="AZ671" s="103"/>
      <c r="BA671" s="103"/>
      <c r="BB671" s="103"/>
      <c r="BC671" s="103"/>
      <c r="BD671" s="103"/>
      <c r="BE671" s="103"/>
    </row>
    <row r="672" ht="15.75" customHeight="1">
      <c r="A672" s="174"/>
      <c r="B672" s="180"/>
      <c r="C672" s="183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184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  <c r="AR672" s="103"/>
      <c r="AS672" s="103"/>
      <c r="AT672" s="103"/>
      <c r="AU672" s="103"/>
      <c r="AV672" s="103"/>
      <c r="AW672" s="103"/>
      <c r="AX672" s="103"/>
      <c r="AY672" s="103"/>
      <c r="AZ672" s="103"/>
      <c r="BA672" s="103"/>
      <c r="BB672" s="103"/>
      <c r="BC672" s="103"/>
      <c r="BD672" s="103"/>
      <c r="BE672" s="103"/>
    </row>
    <row r="673" ht="15.75" customHeight="1">
      <c r="A673" s="174"/>
      <c r="B673" s="180"/>
      <c r="C673" s="183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184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  <c r="AR673" s="103"/>
      <c r="AS673" s="103"/>
      <c r="AT673" s="103"/>
      <c r="AU673" s="103"/>
      <c r="AV673" s="103"/>
      <c r="AW673" s="103"/>
      <c r="AX673" s="103"/>
      <c r="AY673" s="103"/>
      <c r="AZ673" s="103"/>
      <c r="BA673" s="103"/>
      <c r="BB673" s="103"/>
      <c r="BC673" s="103"/>
      <c r="BD673" s="103"/>
      <c r="BE673" s="103"/>
    </row>
    <row r="674" ht="15.75" customHeight="1">
      <c r="A674" s="174"/>
      <c r="B674" s="180"/>
      <c r="C674" s="183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184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  <c r="AR674" s="103"/>
      <c r="AS674" s="103"/>
      <c r="AT674" s="103"/>
      <c r="AU674" s="103"/>
      <c r="AV674" s="103"/>
      <c r="AW674" s="103"/>
      <c r="AX674" s="103"/>
      <c r="AY674" s="103"/>
      <c r="AZ674" s="103"/>
      <c r="BA674" s="103"/>
      <c r="BB674" s="103"/>
      <c r="BC674" s="103"/>
      <c r="BD674" s="103"/>
      <c r="BE674" s="103"/>
    </row>
    <row r="675" ht="15.75" customHeight="1">
      <c r="A675" s="174"/>
      <c r="B675" s="180"/>
      <c r="C675" s="183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184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  <c r="AR675" s="103"/>
      <c r="AS675" s="103"/>
      <c r="AT675" s="103"/>
      <c r="AU675" s="103"/>
      <c r="AV675" s="103"/>
      <c r="AW675" s="103"/>
      <c r="AX675" s="103"/>
      <c r="AY675" s="103"/>
      <c r="AZ675" s="103"/>
      <c r="BA675" s="103"/>
      <c r="BB675" s="103"/>
      <c r="BC675" s="103"/>
      <c r="BD675" s="103"/>
      <c r="BE675" s="103"/>
    </row>
    <row r="676" ht="15.75" customHeight="1">
      <c r="A676" s="174"/>
      <c r="B676" s="180"/>
      <c r="C676" s="183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184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  <c r="AR676" s="103"/>
      <c r="AS676" s="103"/>
      <c r="AT676" s="103"/>
      <c r="AU676" s="103"/>
      <c r="AV676" s="103"/>
      <c r="AW676" s="103"/>
      <c r="AX676" s="103"/>
      <c r="AY676" s="103"/>
      <c r="AZ676" s="103"/>
      <c r="BA676" s="103"/>
      <c r="BB676" s="103"/>
      <c r="BC676" s="103"/>
      <c r="BD676" s="103"/>
      <c r="BE676" s="103"/>
    </row>
    <row r="677" ht="15.75" customHeight="1">
      <c r="A677" s="174"/>
      <c r="B677" s="180"/>
      <c r="C677" s="183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184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  <c r="AR677" s="103"/>
      <c r="AS677" s="103"/>
      <c r="AT677" s="103"/>
      <c r="AU677" s="103"/>
      <c r="AV677" s="103"/>
      <c r="AW677" s="103"/>
      <c r="AX677" s="103"/>
      <c r="AY677" s="103"/>
      <c r="AZ677" s="103"/>
      <c r="BA677" s="103"/>
      <c r="BB677" s="103"/>
      <c r="BC677" s="103"/>
      <c r="BD677" s="103"/>
      <c r="BE677" s="103"/>
    </row>
    <row r="678" ht="15.75" customHeight="1">
      <c r="A678" s="174"/>
      <c r="B678" s="180"/>
      <c r="C678" s="183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184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  <c r="AR678" s="103"/>
      <c r="AS678" s="103"/>
      <c r="AT678" s="103"/>
      <c r="AU678" s="103"/>
      <c r="AV678" s="103"/>
      <c r="AW678" s="103"/>
      <c r="AX678" s="103"/>
      <c r="AY678" s="103"/>
      <c r="AZ678" s="103"/>
      <c r="BA678" s="103"/>
      <c r="BB678" s="103"/>
      <c r="BC678" s="103"/>
      <c r="BD678" s="103"/>
      <c r="BE678" s="103"/>
    </row>
    <row r="679" ht="15.75" customHeight="1">
      <c r="A679" s="174"/>
      <c r="B679" s="180"/>
      <c r="C679" s="183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184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  <c r="AS679" s="103"/>
      <c r="AT679" s="103"/>
      <c r="AU679" s="103"/>
      <c r="AV679" s="103"/>
      <c r="AW679" s="103"/>
      <c r="AX679" s="103"/>
      <c r="AY679" s="103"/>
      <c r="AZ679" s="103"/>
      <c r="BA679" s="103"/>
      <c r="BB679" s="103"/>
      <c r="BC679" s="103"/>
      <c r="BD679" s="103"/>
      <c r="BE679" s="103"/>
    </row>
    <row r="680" ht="15.75" customHeight="1">
      <c r="A680" s="174"/>
      <c r="B680" s="180"/>
      <c r="C680" s="183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184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  <c r="AR680" s="103"/>
      <c r="AS680" s="103"/>
      <c r="AT680" s="103"/>
      <c r="AU680" s="103"/>
      <c r="AV680" s="103"/>
      <c r="AW680" s="103"/>
      <c r="AX680" s="103"/>
      <c r="AY680" s="103"/>
      <c r="AZ680" s="103"/>
      <c r="BA680" s="103"/>
      <c r="BB680" s="103"/>
      <c r="BC680" s="103"/>
      <c r="BD680" s="103"/>
      <c r="BE680" s="103"/>
    </row>
    <row r="681" ht="15.75" customHeight="1">
      <c r="A681" s="174"/>
      <c r="B681" s="180"/>
      <c r="C681" s="183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184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  <c r="AS681" s="103"/>
      <c r="AT681" s="103"/>
      <c r="AU681" s="103"/>
      <c r="AV681" s="103"/>
      <c r="AW681" s="103"/>
      <c r="AX681" s="103"/>
      <c r="AY681" s="103"/>
      <c r="AZ681" s="103"/>
      <c r="BA681" s="103"/>
      <c r="BB681" s="103"/>
      <c r="BC681" s="103"/>
      <c r="BD681" s="103"/>
      <c r="BE681" s="103"/>
    </row>
    <row r="682" ht="15.75" customHeight="1">
      <c r="A682" s="174"/>
      <c r="B682" s="180"/>
      <c r="C682" s="183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184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  <c r="AR682" s="103"/>
      <c r="AS682" s="103"/>
      <c r="AT682" s="103"/>
      <c r="AU682" s="103"/>
      <c r="AV682" s="103"/>
      <c r="AW682" s="103"/>
      <c r="AX682" s="103"/>
      <c r="AY682" s="103"/>
      <c r="AZ682" s="103"/>
      <c r="BA682" s="103"/>
      <c r="BB682" s="103"/>
      <c r="BC682" s="103"/>
      <c r="BD682" s="103"/>
      <c r="BE682" s="103"/>
    </row>
    <row r="683" ht="15.75" customHeight="1">
      <c r="A683" s="174"/>
      <c r="B683" s="180"/>
      <c r="C683" s="183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184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  <c r="AR683" s="103"/>
      <c r="AS683" s="103"/>
      <c r="AT683" s="103"/>
      <c r="AU683" s="103"/>
      <c r="AV683" s="103"/>
      <c r="AW683" s="103"/>
      <c r="AX683" s="103"/>
      <c r="AY683" s="103"/>
      <c r="AZ683" s="103"/>
      <c r="BA683" s="103"/>
      <c r="BB683" s="103"/>
      <c r="BC683" s="103"/>
      <c r="BD683" s="103"/>
      <c r="BE683" s="103"/>
    </row>
    <row r="684" ht="15.75" customHeight="1">
      <c r="A684" s="174"/>
      <c r="B684" s="180"/>
      <c r="C684" s="183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184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  <c r="AR684" s="103"/>
      <c r="AS684" s="103"/>
      <c r="AT684" s="103"/>
      <c r="AU684" s="103"/>
      <c r="AV684" s="103"/>
      <c r="AW684" s="103"/>
      <c r="AX684" s="103"/>
      <c r="AY684" s="103"/>
      <c r="AZ684" s="103"/>
      <c r="BA684" s="103"/>
      <c r="BB684" s="103"/>
      <c r="BC684" s="103"/>
      <c r="BD684" s="103"/>
      <c r="BE684" s="103"/>
    </row>
    <row r="685" ht="15.75" customHeight="1">
      <c r="A685" s="174"/>
      <c r="B685" s="180"/>
      <c r="C685" s="183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184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  <c r="AR685" s="103"/>
      <c r="AS685" s="103"/>
      <c r="AT685" s="103"/>
      <c r="AU685" s="103"/>
      <c r="AV685" s="103"/>
      <c r="AW685" s="103"/>
      <c r="AX685" s="103"/>
      <c r="AY685" s="103"/>
      <c r="AZ685" s="103"/>
      <c r="BA685" s="103"/>
      <c r="BB685" s="103"/>
      <c r="BC685" s="103"/>
      <c r="BD685" s="103"/>
      <c r="BE685" s="103"/>
    </row>
    <row r="686" ht="15.75" customHeight="1">
      <c r="A686" s="174"/>
      <c r="B686" s="180"/>
      <c r="C686" s="183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184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  <c r="AS686" s="103"/>
      <c r="AT686" s="103"/>
      <c r="AU686" s="103"/>
      <c r="AV686" s="103"/>
      <c r="AW686" s="103"/>
      <c r="AX686" s="103"/>
      <c r="AY686" s="103"/>
      <c r="AZ686" s="103"/>
      <c r="BA686" s="103"/>
      <c r="BB686" s="103"/>
      <c r="BC686" s="103"/>
      <c r="BD686" s="103"/>
      <c r="BE686" s="103"/>
    </row>
    <row r="687" ht="15.75" customHeight="1">
      <c r="A687" s="174"/>
      <c r="B687" s="180"/>
      <c r="C687" s="183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184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  <c r="AR687" s="103"/>
      <c r="AS687" s="103"/>
      <c r="AT687" s="103"/>
      <c r="AU687" s="103"/>
      <c r="AV687" s="103"/>
      <c r="AW687" s="103"/>
      <c r="AX687" s="103"/>
      <c r="AY687" s="103"/>
      <c r="AZ687" s="103"/>
      <c r="BA687" s="103"/>
      <c r="BB687" s="103"/>
      <c r="BC687" s="103"/>
      <c r="BD687" s="103"/>
      <c r="BE687" s="103"/>
    </row>
    <row r="688" ht="15.75" customHeight="1">
      <c r="A688" s="174"/>
      <c r="B688" s="180"/>
      <c r="C688" s="183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184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  <c r="AR688" s="103"/>
      <c r="AS688" s="103"/>
      <c r="AT688" s="103"/>
      <c r="AU688" s="103"/>
      <c r="AV688" s="103"/>
      <c r="AW688" s="103"/>
      <c r="AX688" s="103"/>
      <c r="AY688" s="103"/>
      <c r="AZ688" s="103"/>
      <c r="BA688" s="103"/>
      <c r="BB688" s="103"/>
      <c r="BC688" s="103"/>
      <c r="BD688" s="103"/>
      <c r="BE688" s="103"/>
    </row>
    <row r="689" ht="15.75" customHeight="1">
      <c r="A689" s="174"/>
      <c r="B689" s="180"/>
      <c r="C689" s="183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184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  <c r="AR689" s="103"/>
      <c r="AS689" s="103"/>
      <c r="AT689" s="103"/>
      <c r="AU689" s="103"/>
      <c r="AV689" s="103"/>
      <c r="AW689" s="103"/>
      <c r="AX689" s="103"/>
      <c r="AY689" s="103"/>
      <c r="AZ689" s="103"/>
      <c r="BA689" s="103"/>
      <c r="BB689" s="103"/>
      <c r="BC689" s="103"/>
      <c r="BD689" s="103"/>
      <c r="BE689" s="103"/>
    </row>
    <row r="690" ht="15.75" customHeight="1">
      <c r="A690" s="174"/>
      <c r="B690" s="180"/>
      <c r="C690" s="183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184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  <c r="AR690" s="103"/>
      <c r="AS690" s="103"/>
      <c r="AT690" s="103"/>
      <c r="AU690" s="103"/>
      <c r="AV690" s="103"/>
      <c r="AW690" s="103"/>
      <c r="AX690" s="103"/>
      <c r="AY690" s="103"/>
      <c r="AZ690" s="103"/>
      <c r="BA690" s="103"/>
      <c r="BB690" s="103"/>
      <c r="BC690" s="103"/>
      <c r="BD690" s="103"/>
      <c r="BE690" s="103"/>
    </row>
    <row r="691" ht="15.75" customHeight="1">
      <c r="A691" s="174"/>
      <c r="B691" s="180"/>
      <c r="C691" s="183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184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  <c r="AR691" s="103"/>
      <c r="AS691" s="103"/>
      <c r="AT691" s="103"/>
      <c r="AU691" s="103"/>
      <c r="AV691" s="103"/>
      <c r="AW691" s="103"/>
      <c r="AX691" s="103"/>
      <c r="AY691" s="103"/>
      <c r="AZ691" s="103"/>
      <c r="BA691" s="103"/>
      <c r="BB691" s="103"/>
      <c r="BC691" s="103"/>
      <c r="BD691" s="103"/>
      <c r="BE691" s="103"/>
    </row>
    <row r="692" ht="15.75" customHeight="1">
      <c r="A692" s="174"/>
      <c r="B692" s="180"/>
      <c r="C692" s="183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184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  <c r="AS692" s="103"/>
      <c r="AT692" s="103"/>
      <c r="AU692" s="103"/>
      <c r="AV692" s="103"/>
      <c r="AW692" s="103"/>
      <c r="AX692" s="103"/>
      <c r="AY692" s="103"/>
      <c r="AZ692" s="103"/>
      <c r="BA692" s="103"/>
      <c r="BB692" s="103"/>
      <c r="BC692" s="103"/>
      <c r="BD692" s="103"/>
      <c r="BE692" s="103"/>
    </row>
    <row r="693" ht="15.75" customHeight="1">
      <c r="A693" s="174"/>
      <c r="B693" s="180"/>
      <c r="C693" s="183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184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  <c r="AR693" s="103"/>
      <c r="AS693" s="103"/>
      <c r="AT693" s="103"/>
      <c r="AU693" s="103"/>
      <c r="AV693" s="103"/>
      <c r="AW693" s="103"/>
      <c r="AX693" s="103"/>
      <c r="AY693" s="103"/>
      <c r="AZ693" s="103"/>
      <c r="BA693" s="103"/>
      <c r="BB693" s="103"/>
      <c r="BC693" s="103"/>
      <c r="BD693" s="103"/>
      <c r="BE693" s="103"/>
    </row>
    <row r="694" ht="15.75" customHeight="1">
      <c r="A694" s="174"/>
      <c r="B694" s="180"/>
      <c r="C694" s="183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184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  <c r="AR694" s="103"/>
      <c r="AS694" s="103"/>
      <c r="AT694" s="103"/>
      <c r="AU694" s="103"/>
      <c r="AV694" s="103"/>
      <c r="AW694" s="103"/>
      <c r="AX694" s="103"/>
      <c r="AY694" s="103"/>
      <c r="AZ694" s="103"/>
      <c r="BA694" s="103"/>
      <c r="BB694" s="103"/>
      <c r="BC694" s="103"/>
      <c r="BD694" s="103"/>
      <c r="BE694" s="103"/>
    </row>
    <row r="695" ht="15.75" customHeight="1">
      <c r="A695" s="174"/>
      <c r="B695" s="180"/>
      <c r="C695" s="183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184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  <c r="AS695" s="103"/>
      <c r="AT695" s="103"/>
      <c r="AU695" s="103"/>
      <c r="AV695" s="103"/>
      <c r="AW695" s="103"/>
      <c r="AX695" s="103"/>
      <c r="AY695" s="103"/>
      <c r="AZ695" s="103"/>
      <c r="BA695" s="103"/>
      <c r="BB695" s="103"/>
      <c r="BC695" s="103"/>
      <c r="BD695" s="103"/>
      <c r="BE695" s="103"/>
    </row>
    <row r="696" ht="15.75" customHeight="1">
      <c r="A696" s="174"/>
      <c r="B696" s="180"/>
      <c r="C696" s="183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184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  <c r="AS696" s="103"/>
      <c r="AT696" s="103"/>
      <c r="AU696" s="103"/>
      <c r="AV696" s="103"/>
      <c r="AW696" s="103"/>
      <c r="AX696" s="103"/>
      <c r="AY696" s="103"/>
      <c r="AZ696" s="103"/>
      <c r="BA696" s="103"/>
      <c r="BB696" s="103"/>
      <c r="BC696" s="103"/>
      <c r="BD696" s="103"/>
      <c r="BE696" s="103"/>
    </row>
    <row r="697" ht="15.75" customHeight="1">
      <c r="A697" s="174"/>
      <c r="B697" s="180"/>
      <c r="C697" s="183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184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  <c r="AS697" s="103"/>
      <c r="AT697" s="103"/>
      <c r="AU697" s="103"/>
      <c r="AV697" s="103"/>
      <c r="AW697" s="103"/>
      <c r="AX697" s="103"/>
      <c r="AY697" s="103"/>
      <c r="AZ697" s="103"/>
      <c r="BA697" s="103"/>
      <c r="BB697" s="103"/>
      <c r="BC697" s="103"/>
      <c r="BD697" s="103"/>
      <c r="BE697" s="103"/>
    </row>
    <row r="698" ht="15.75" customHeight="1">
      <c r="A698" s="174"/>
      <c r="B698" s="180"/>
      <c r="C698" s="183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184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  <c r="AR698" s="103"/>
      <c r="AS698" s="103"/>
      <c r="AT698" s="103"/>
      <c r="AU698" s="103"/>
      <c r="AV698" s="103"/>
      <c r="AW698" s="103"/>
      <c r="AX698" s="103"/>
      <c r="AY698" s="103"/>
      <c r="AZ698" s="103"/>
      <c r="BA698" s="103"/>
      <c r="BB698" s="103"/>
      <c r="BC698" s="103"/>
      <c r="BD698" s="103"/>
      <c r="BE698" s="103"/>
    </row>
    <row r="699" ht="15.75" customHeight="1">
      <c r="A699" s="174"/>
      <c r="B699" s="180"/>
      <c r="C699" s="183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184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  <c r="AR699" s="103"/>
      <c r="AS699" s="103"/>
      <c r="AT699" s="103"/>
      <c r="AU699" s="103"/>
      <c r="AV699" s="103"/>
      <c r="AW699" s="103"/>
      <c r="AX699" s="103"/>
      <c r="AY699" s="103"/>
      <c r="AZ699" s="103"/>
      <c r="BA699" s="103"/>
      <c r="BB699" s="103"/>
      <c r="BC699" s="103"/>
      <c r="BD699" s="103"/>
      <c r="BE699" s="103"/>
    </row>
    <row r="700" ht="15.75" customHeight="1">
      <c r="A700" s="174"/>
      <c r="B700" s="180"/>
      <c r="C700" s="183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184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  <c r="AR700" s="103"/>
      <c r="AS700" s="103"/>
      <c r="AT700" s="103"/>
      <c r="AU700" s="103"/>
      <c r="AV700" s="103"/>
      <c r="AW700" s="103"/>
      <c r="AX700" s="103"/>
      <c r="AY700" s="103"/>
      <c r="AZ700" s="103"/>
      <c r="BA700" s="103"/>
      <c r="BB700" s="103"/>
      <c r="BC700" s="103"/>
      <c r="BD700" s="103"/>
      <c r="BE700" s="103"/>
    </row>
    <row r="701" ht="15.75" customHeight="1">
      <c r="A701" s="174"/>
      <c r="B701" s="180"/>
      <c r="C701" s="183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184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  <c r="AR701" s="103"/>
      <c r="AS701" s="103"/>
      <c r="AT701" s="103"/>
      <c r="AU701" s="103"/>
      <c r="AV701" s="103"/>
      <c r="AW701" s="103"/>
      <c r="AX701" s="103"/>
      <c r="AY701" s="103"/>
      <c r="AZ701" s="103"/>
      <c r="BA701" s="103"/>
      <c r="BB701" s="103"/>
      <c r="BC701" s="103"/>
      <c r="BD701" s="103"/>
      <c r="BE701" s="103"/>
    </row>
    <row r="702" ht="15.75" customHeight="1">
      <c r="A702" s="174"/>
      <c r="B702" s="180"/>
      <c r="C702" s="183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184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  <c r="AR702" s="103"/>
      <c r="AS702" s="103"/>
      <c r="AT702" s="103"/>
      <c r="AU702" s="103"/>
      <c r="AV702" s="103"/>
      <c r="AW702" s="103"/>
      <c r="AX702" s="103"/>
      <c r="AY702" s="103"/>
      <c r="AZ702" s="103"/>
      <c r="BA702" s="103"/>
      <c r="BB702" s="103"/>
      <c r="BC702" s="103"/>
      <c r="BD702" s="103"/>
      <c r="BE702" s="103"/>
    </row>
    <row r="703" ht="15.75" customHeight="1">
      <c r="A703" s="174"/>
      <c r="B703" s="180"/>
      <c r="C703" s="183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184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  <c r="AR703" s="103"/>
      <c r="AS703" s="103"/>
      <c r="AT703" s="103"/>
      <c r="AU703" s="103"/>
      <c r="AV703" s="103"/>
      <c r="AW703" s="103"/>
      <c r="AX703" s="103"/>
      <c r="AY703" s="103"/>
      <c r="AZ703" s="103"/>
      <c r="BA703" s="103"/>
      <c r="BB703" s="103"/>
      <c r="BC703" s="103"/>
      <c r="BD703" s="103"/>
      <c r="BE703" s="103"/>
    </row>
    <row r="704" ht="15.75" customHeight="1">
      <c r="A704" s="174"/>
      <c r="B704" s="180"/>
      <c r="C704" s="183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184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  <c r="AS704" s="103"/>
      <c r="AT704" s="103"/>
      <c r="AU704" s="103"/>
      <c r="AV704" s="103"/>
      <c r="AW704" s="103"/>
      <c r="AX704" s="103"/>
      <c r="AY704" s="103"/>
      <c r="AZ704" s="103"/>
      <c r="BA704" s="103"/>
      <c r="BB704" s="103"/>
      <c r="BC704" s="103"/>
      <c r="BD704" s="103"/>
      <c r="BE704" s="103"/>
    </row>
    <row r="705" ht="15.75" customHeight="1">
      <c r="A705" s="174"/>
      <c r="B705" s="180"/>
      <c r="C705" s="183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184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  <c r="AR705" s="103"/>
      <c r="AS705" s="103"/>
      <c r="AT705" s="103"/>
      <c r="AU705" s="103"/>
      <c r="AV705" s="103"/>
      <c r="AW705" s="103"/>
      <c r="AX705" s="103"/>
      <c r="AY705" s="103"/>
      <c r="AZ705" s="103"/>
      <c r="BA705" s="103"/>
      <c r="BB705" s="103"/>
      <c r="BC705" s="103"/>
      <c r="BD705" s="103"/>
      <c r="BE705" s="103"/>
    </row>
    <row r="706" ht="15.75" customHeight="1">
      <c r="A706" s="174"/>
      <c r="B706" s="180"/>
      <c r="C706" s="183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184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  <c r="AS706" s="103"/>
      <c r="AT706" s="103"/>
      <c r="AU706" s="103"/>
      <c r="AV706" s="103"/>
      <c r="AW706" s="103"/>
      <c r="AX706" s="103"/>
      <c r="AY706" s="103"/>
      <c r="AZ706" s="103"/>
      <c r="BA706" s="103"/>
      <c r="BB706" s="103"/>
      <c r="BC706" s="103"/>
      <c r="BD706" s="103"/>
      <c r="BE706" s="103"/>
    </row>
    <row r="707" ht="15.75" customHeight="1">
      <c r="A707" s="174"/>
      <c r="B707" s="180"/>
      <c r="C707" s="183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184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  <c r="AS707" s="103"/>
      <c r="AT707" s="103"/>
      <c r="AU707" s="103"/>
      <c r="AV707" s="103"/>
      <c r="AW707" s="103"/>
      <c r="AX707" s="103"/>
      <c r="AY707" s="103"/>
      <c r="AZ707" s="103"/>
      <c r="BA707" s="103"/>
      <c r="BB707" s="103"/>
      <c r="BC707" s="103"/>
      <c r="BD707" s="103"/>
      <c r="BE707" s="103"/>
    </row>
    <row r="708" ht="15.75" customHeight="1">
      <c r="A708" s="174"/>
      <c r="B708" s="180"/>
      <c r="C708" s="183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184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  <c r="AS708" s="103"/>
      <c r="AT708" s="103"/>
      <c r="AU708" s="103"/>
      <c r="AV708" s="103"/>
      <c r="AW708" s="103"/>
      <c r="AX708" s="103"/>
      <c r="AY708" s="103"/>
      <c r="AZ708" s="103"/>
      <c r="BA708" s="103"/>
      <c r="BB708" s="103"/>
      <c r="BC708" s="103"/>
      <c r="BD708" s="103"/>
      <c r="BE708" s="103"/>
    </row>
    <row r="709" ht="15.75" customHeight="1">
      <c r="A709" s="174"/>
      <c r="B709" s="180"/>
      <c r="C709" s="183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184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  <c r="AR709" s="103"/>
      <c r="AS709" s="103"/>
      <c r="AT709" s="103"/>
      <c r="AU709" s="103"/>
      <c r="AV709" s="103"/>
      <c r="AW709" s="103"/>
      <c r="AX709" s="103"/>
      <c r="AY709" s="103"/>
      <c r="AZ709" s="103"/>
      <c r="BA709" s="103"/>
      <c r="BB709" s="103"/>
      <c r="BC709" s="103"/>
      <c r="BD709" s="103"/>
      <c r="BE709" s="103"/>
    </row>
    <row r="710" ht="15.75" customHeight="1">
      <c r="A710" s="174"/>
      <c r="B710" s="180"/>
      <c r="C710" s="183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184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  <c r="AS710" s="103"/>
      <c r="AT710" s="103"/>
      <c r="AU710" s="103"/>
      <c r="AV710" s="103"/>
      <c r="AW710" s="103"/>
      <c r="AX710" s="103"/>
      <c r="AY710" s="103"/>
      <c r="AZ710" s="103"/>
      <c r="BA710" s="103"/>
      <c r="BB710" s="103"/>
      <c r="BC710" s="103"/>
      <c r="BD710" s="103"/>
      <c r="BE710" s="103"/>
    </row>
    <row r="711" ht="15.75" customHeight="1">
      <c r="A711" s="174"/>
      <c r="B711" s="180"/>
      <c r="C711" s="183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184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  <c r="AR711" s="103"/>
      <c r="AS711" s="103"/>
      <c r="AT711" s="103"/>
      <c r="AU711" s="103"/>
      <c r="AV711" s="103"/>
      <c r="AW711" s="103"/>
      <c r="AX711" s="103"/>
      <c r="AY711" s="103"/>
      <c r="AZ711" s="103"/>
      <c r="BA711" s="103"/>
      <c r="BB711" s="103"/>
      <c r="BC711" s="103"/>
      <c r="BD711" s="103"/>
      <c r="BE711" s="103"/>
    </row>
    <row r="712" ht="15.75" customHeight="1">
      <c r="A712" s="174"/>
      <c r="B712" s="180"/>
      <c r="C712" s="183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184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  <c r="AR712" s="103"/>
      <c r="AS712" s="103"/>
      <c r="AT712" s="103"/>
      <c r="AU712" s="103"/>
      <c r="AV712" s="103"/>
      <c r="AW712" s="103"/>
      <c r="AX712" s="103"/>
      <c r="AY712" s="103"/>
      <c r="AZ712" s="103"/>
      <c r="BA712" s="103"/>
      <c r="BB712" s="103"/>
      <c r="BC712" s="103"/>
      <c r="BD712" s="103"/>
      <c r="BE712" s="103"/>
    </row>
    <row r="713" ht="15.75" customHeight="1">
      <c r="A713" s="174"/>
      <c r="B713" s="180"/>
      <c r="C713" s="183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184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  <c r="AS713" s="103"/>
      <c r="AT713" s="103"/>
      <c r="AU713" s="103"/>
      <c r="AV713" s="103"/>
      <c r="AW713" s="103"/>
      <c r="AX713" s="103"/>
      <c r="AY713" s="103"/>
      <c r="AZ713" s="103"/>
      <c r="BA713" s="103"/>
      <c r="BB713" s="103"/>
      <c r="BC713" s="103"/>
      <c r="BD713" s="103"/>
      <c r="BE713" s="103"/>
    </row>
    <row r="714" ht="15.75" customHeight="1">
      <c r="A714" s="174"/>
      <c r="B714" s="180"/>
      <c r="C714" s="183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184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  <c r="AR714" s="103"/>
      <c r="AS714" s="103"/>
      <c r="AT714" s="103"/>
      <c r="AU714" s="103"/>
      <c r="AV714" s="103"/>
      <c r="AW714" s="103"/>
      <c r="AX714" s="103"/>
      <c r="AY714" s="103"/>
      <c r="AZ714" s="103"/>
      <c r="BA714" s="103"/>
      <c r="BB714" s="103"/>
      <c r="BC714" s="103"/>
      <c r="BD714" s="103"/>
      <c r="BE714" s="103"/>
    </row>
    <row r="715" ht="15.75" customHeight="1">
      <c r="A715" s="174"/>
      <c r="B715" s="180"/>
      <c r="C715" s="183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184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  <c r="AR715" s="103"/>
      <c r="AS715" s="103"/>
      <c r="AT715" s="103"/>
      <c r="AU715" s="103"/>
      <c r="AV715" s="103"/>
      <c r="AW715" s="103"/>
      <c r="AX715" s="103"/>
      <c r="AY715" s="103"/>
      <c r="AZ715" s="103"/>
      <c r="BA715" s="103"/>
      <c r="BB715" s="103"/>
      <c r="BC715" s="103"/>
      <c r="BD715" s="103"/>
      <c r="BE715" s="103"/>
    </row>
    <row r="716" ht="15.75" customHeight="1">
      <c r="A716" s="174"/>
      <c r="B716" s="180"/>
      <c r="C716" s="183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184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  <c r="AR716" s="103"/>
      <c r="AS716" s="103"/>
      <c r="AT716" s="103"/>
      <c r="AU716" s="103"/>
      <c r="AV716" s="103"/>
      <c r="AW716" s="103"/>
      <c r="AX716" s="103"/>
      <c r="AY716" s="103"/>
      <c r="AZ716" s="103"/>
      <c r="BA716" s="103"/>
      <c r="BB716" s="103"/>
      <c r="BC716" s="103"/>
      <c r="BD716" s="103"/>
      <c r="BE716" s="103"/>
    </row>
    <row r="717" ht="15.75" customHeight="1">
      <c r="A717" s="174"/>
      <c r="B717" s="180"/>
      <c r="C717" s="183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184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  <c r="AR717" s="103"/>
      <c r="AS717" s="103"/>
      <c r="AT717" s="103"/>
      <c r="AU717" s="103"/>
      <c r="AV717" s="103"/>
      <c r="AW717" s="103"/>
      <c r="AX717" s="103"/>
      <c r="AY717" s="103"/>
      <c r="AZ717" s="103"/>
      <c r="BA717" s="103"/>
      <c r="BB717" s="103"/>
      <c r="BC717" s="103"/>
      <c r="BD717" s="103"/>
      <c r="BE717" s="103"/>
    </row>
    <row r="718" ht="15.75" customHeight="1">
      <c r="A718" s="174"/>
      <c r="B718" s="180"/>
      <c r="C718" s="183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184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  <c r="AR718" s="103"/>
      <c r="AS718" s="103"/>
      <c r="AT718" s="103"/>
      <c r="AU718" s="103"/>
      <c r="AV718" s="103"/>
      <c r="AW718" s="103"/>
      <c r="AX718" s="103"/>
      <c r="AY718" s="103"/>
      <c r="AZ718" s="103"/>
      <c r="BA718" s="103"/>
      <c r="BB718" s="103"/>
      <c r="BC718" s="103"/>
      <c r="BD718" s="103"/>
      <c r="BE718" s="103"/>
    </row>
    <row r="719" ht="15.75" customHeight="1">
      <c r="A719" s="174"/>
      <c r="B719" s="180"/>
      <c r="C719" s="183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184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3"/>
      <c r="AV719" s="103"/>
      <c r="AW719" s="103"/>
      <c r="AX719" s="103"/>
      <c r="AY719" s="103"/>
      <c r="AZ719" s="103"/>
      <c r="BA719" s="103"/>
      <c r="BB719" s="103"/>
      <c r="BC719" s="103"/>
      <c r="BD719" s="103"/>
      <c r="BE719" s="103"/>
    </row>
    <row r="720" ht="15.75" customHeight="1">
      <c r="A720" s="174"/>
      <c r="B720" s="180"/>
      <c r="C720" s="183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184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  <c r="AS720" s="103"/>
      <c r="AT720" s="103"/>
      <c r="AU720" s="103"/>
      <c r="AV720" s="103"/>
      <c r="AW720" s="103"/>
      <c r="AX720" s="103"/>
      <c r="AY720" s="103"/>
      <c r="AZ720" s="103"/>
      <c r="BA720" s="103"/>
      <c r="BB720" s="103"/>
      <c r="BC720" s="103"/>
      <c r="BD720" s="103"/>
      <c r="BE720" s="103"/>
    </row>
    <row r="721" ht="15.75" customHeight="1">
      <c r="A721" s="174"/>
      <c r="B721" s="180"/>
      <c r="C721" s="183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184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  <c r="AS721" s="103"/>
      <c r="AT721" s="103"/>
      <c r="AU721" s="103"/>
      <c r="AV721" s="103"/>
      <c r="AW721" s="103"/>
      <c r="AX721" s="103"/>
      <c r="AY721" s="103"/>
      <c r="AZ721" s="103"/>
      <c r="BA721" s="103"/>
      <c r="BB721" s="103"/>
      <c r="BC721" s="103"/>
      <c r="BD721" s="103"/>
      <c r="BE721" s="103"/>
    </row>
    <row r="722" ht="15.75" customHeight="1">
      <c r="A722" s="174"/>
      <c r="B722" s="180"/>
      <c r="C722" s="183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184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  <c r="AS722" s="103"/>
      <c r="AT722" s="103"/>
      <c r="AU722" s="103"/>
      <c r="AV722" s="103"/>
      <c r="AW722" s="103"/>
      <c r="AX722" s="103"/>
      <c r="AY722" s="103"/>
      <c r="AZ722" s="103"/>
      <c r="BA722" s="103"/>
      <c r="BB722" s="103"/>
      <c r="BC722" s="103"/>
      <c r="BD722" s="103"/>
      <c r="BE722" s="103"/>
    </row>
    <row r="723" ht="15.75" customHeight="1">
      <c r="A723" s="174"/>
      <c r="B723" s="180"/>
      <c r="C723" s="183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184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  <c r="AR723" s="103"/>
      <c r="AS723" s="103"/>
      <c r="AT723" s="103"/>
      <c r="AU723" s="103"/>
      <c r="AV723" s="103"/>
      <c r="AW723" s="103"/>
      <c r="AX723" s="103"/>
      <c r="AY723" s="103"/>
      <c r="AZ723" s="103"/>
      <c r="BA723" s="103"/>
      <c r="BB723" s="103"/>
      <c r="BC723" s="103"/>
      <c r="BD723" s="103"/>
      <c r="BE723" s="103"/>
    </row>
    <row r="724" ht="15.75" customHeight="1">
      <c r="A724" s="174"/>
      <c r="B724" s="180"/>
      <c r="C724" s="183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184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  <c r="AS724" s="103"/>
      <c r="AT724" s="103"/>
      <c r="AU724" s="103"/>
      <c r="AV724" s="103"/>
      <c r="AW724" s="103"/>
      <c r="AX724" s="103"/>
      <c r="AY724" s="103"/>
      <c r="AZ724" s="103"/>
      <c r="BA724" s="103"/>
      <c r="BB724" s="103"/>
      <c r="BC724" s="103"/>
      <c r="BD724" s="103"/>
      <c r="BE724" s="103"/>
    </row>
    <row r="725" ht="15.75" customHeight="1">
      <c r="A725" s="174"/>
      <c r="B725" s="180"/>
      <c r="C725" s="183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184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  <c r="AS725" s="103"/>
      <c r="AT725" s="103"/>
      <c r="AU725" s="103"/>
      <c r="AV725" s="103"/>
      <c r="AW725" s="103"/>
      <c r="AX725" s="103"/>
      <c r="AY725" s="103"/>
      <c r="AZ725" s="103"/>
      <c r="BA725" s="103"/>
      <c r="BB725" s="103"/>
      <c r="BC725" s="103"/>
      <c r="BD725" s="103"/>
      <c r="BE725" s="103"/>
    </row>
    <row r="726" ht="15.75" customHeight="1">
      <c r="A726" s="174"/>
      <c r="B726" s="180"/>
      <c r="C726" s="183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184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  <c r="AS726" s="103"/>
      <c r="AT726" s="103"/>
      <c r="AU726" s="103"/>
      <c r="AV726" s="103"/>
      <c r="AW726" s="103"/>
      <c r="AX726" s="103"/>
      <c r="AY726" s="103"/>
      <c r="AZ726" s="103"/>
      <c r="BA726" s="103"/>
      <c r="BB726" s="103"/>
      <c r="BC726" s="103"/>
      <c r="BD726" s="103"/>
      <c r="BE726" s="103"/>
    </row>
    <row r="727" ht="15.75" customHeight="1">
      <c r="A727" s="174"/>
      <c r="B727" s="180"/>
      <c r="C727" s="183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184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  <c r="AS727" s="103"/>
      <c r="AT727" s="103"/>
      <c r="AU727" s="103"/>
      <c r="AV727" s="103"/>
      <c r="AW727" s="103"/>
      <c r="AX727" s="103"/>
      <c r="AY727" s="103"/>
      <c r="AZ727" s="103"/>
      <c r="BA727" s="103"/>
      <c r="BB727" s="103"/>
      <c r="BC727" s="103"/>
      <c r="BD727" s="103"/>
      <c r="BE727" s="103"/>
    </row>
    <row r="728" ht="15.75" customHeight="1">
      <c r="A728" s="174"/>
      <c r="B728" s="180"/>
      <c r="C728" s="183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184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  <c r="AS728" s="103"/>
      <c r="AT728" s="103"/>
      <c r="AU728" s="103"/>
      <c r="AV728" s="103"/>
      <c r="AW728" s="103"/>
      <c r="AX728" s="103"/>
      <c r="AY728" s="103"/>
      <c r="AZ728" s="103"/>
      <c r="BA728" s="103"/>
      <c r="BB728" s="103"/>
      <c r="BC728" s="103"/>
      <c r="BD728" s="103"/>
      <c r="BE728" s="103"/>
    </row>
    <row r="729" ht="15.75" customHeight="1">
      <c r="A729" s="174"/>
      <c r="B729" s="180"/>
      <c r="C729" s="183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184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  <c r="AS729" s="103"/>
      <c r="AT729" s="103"/>
      <c r="AU729" s="103"/>
      <c r="AV729" s="103"/>
      <c r="AW729" s="103"/>
      <c r="AX729" s="103"/>
      <c r="AY729" s="103"/>
      <c r="AZ729" s="103"/>
      <c r="BA729" s="103"/>
      <c r="BB729" s="103"/>
      <c r="BC729" s="103"/>
      <c r="BD729" s="103"/>
      <c r="BE729" s="103"/>
    </row>
    <row r="730" ht="15.75" customHeight="1">
      <c r="A730" s="174"/>
      <c r="B730" s="180"/>
      <c r="C730" s="183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184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  <c r="AR730" s="103"/>
      <c r="AS730" s="103"/>
      <c r="AT730" s="103"/>
      <c r="AU730" s="103"/>
      <c r="AV730" s="103"/>
      <c r="AW730" s="103"/>
      <c r="AX730" s="103"/>
      <c r="AY730" s="103"/>
      <c r="AZ730" s="103"/>
      <c r="BA730" s="103"/>
      <c r="BB730" s="103"/>
      <c r="BC730" s="103"/>
      <c r="BD730" s="103"/>
      <c r="BE730" s="103"/>
    </row>
    <row r="731" ht="15.75" customHeight="1">
      <c r="A731" s="174"/>
      <c r="B731" s="180"/>
      <c r="C731" s="183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184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  <c r="AS731" s="103"/>
      <c r="AT731" s="103"/>
      <c r="AU731" s="103"/>
      <c r="AV731" s="103"/>
      <c r="AW731" s="103"/>
      <c r="AX731" s="103"/>
      <c r="AY731" s="103"/>
      <c r="AZ731" s="103"/>
      <c r="BA731" s="103"/>
      <c r="BB731" s="103"/>
      <c r="BC731" s="103"/>
      <c r="BD731" s="103"/>
      <c r="BE731" s="103"/>
    </row>
    <row r="732" ht="15.75" customHeight="1">
      <c r="A732" s="174"/>
      <c r="B732" s="180"/>
      <c r="C732" s="183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184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  <c r="AR732" s="103"/>
      <c r="AS732" s="103"/>
      <c r="AT732" s="103"/>
      <c r="AU732" s="103"/>
      <c r="AV732" s="103"/>
      <c r="AW732" s="103"/>
      <c r="AX732" s="103"/>
      <c r="AY732" s="103"/>
      <c r="AZ732" s="103"/>
      <c r="BA732" s="103"/>
      <c r="BB732" s="103"/>
      <c r="BC732" s="103"/>
      <c r="BD732" s="103"/>
      <c r="BE732" s="103"/>
    </row>
    <row r="733" ht="15.75" customHeight="1">
      <c r="A733" s="174"/>
      <c r="B733" s="180"/>
      <c r="C733" s="183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184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  <c r="AR733" s="103"/>
      <c r="AS733" s="103"/>
      <c r="AT733" s="103"/>
      <c r="AU733" s="103"/>
      <c r="AV733" s="103"/>
      <c r="AW733" s="103"/>
      <c r="AX733" s="103"/>
      <c r="AY733" s="103"/>
      <c r="AZ733" s="103"/>
      <c r="BA733" s="103"/>
      <c r="BB733" s="103"/>
      <c r="BC733" s="103"/>
      <c r="BD733" s="103"/>
      <c r="BE733" s="103"/>
    </row>
    <row r="734" ht="15.75" customHeight="1">
      <c r="A734" s="174"/>
      <c r="B734" s="180"/>
      <c r="C734" s="183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184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  <c r="AR734" s="103"/>
      <c r="AS734" s="103"/>
      <c r="AT734" s="103"/>
      <c r="AU734" s="103"/>
      <c r="AV734" s="103"/>
      <c r="AW734" s="103"/>
      <c r="AX734" s="103"/>
      <c r="AY734" s="103"/>
      <c r="AZ734" s="103"/>
      <c r="BA734" s="103"/>
      <c r="BB734" s="103"/>
      <c r="BC734" s="103"/>
      <c r="BD734" s="103"/>
      <c r="BE734" s="103"/>
    </row>
    <row r="735" ht="15.75" customHeight="1">
      <c r="A735" s="174"/>
      <c r="B735" s="180"/>
      <c r="C735" s="183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184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  <c r="AR735" s="103"/>
      <c r="AS735" s="103"/>
      <c r="AT735" s="103"/>
      <c r="AU735" s="103"/>
      <c r="AV735" s="103"/>
      <c r="AW735" s="103"/>
      <c r="AX735" s="103"/>
      <c r="AY735" s="103"/>
      <c r="AZ735" s="103"/>
      <c r="BA735" s="103"/>
      <c r="BB735" s="103"/>
      <c r="BC735" s="103"/>
      <c r="BD735" s="103"/>
      <c r="BE735" s="103"/>
    </row>
    <row r="736" ht="15.75" customHeight="1">
      <c r="A736" s="174"/>
      <c r="B736" s="180"/>
      <c r="C736" s="183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184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  <c r="AR736" s="103"/>
      <c r="AS736" s="103"/>
      <c r="AT736" s="103"/>
      <c r="AU736" s="103"/>
      <c r="AV736" s="103"/>
      <c r="AW736" s="103"/>
      <c r="AX736" s="103"/>
      <c r="AY736" s="103"/>
      <c r="AZ736" s="103"/>
      <c r="BA736" s="103"/>
      <c r="BB736" s="103"/>
      <c r="BC736" s="103"/>
      <c r="BD736" s="103"/>
      <c r="BE736" s="103"/>
    </row>
    <row r="737" ht="15.75" customHeight="1">
      <c r="A737" s="174"/>
      <c r="B737" s="180"/>
      <c r="C737" s="183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184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  <c r="AR737" s="103"/>
      <c r="AS737" s="103"/>
      <c r="AT737" s="103"/>
      <c r="AU737" s="103"/>
      <c r="AV737" s="103"/>
      <c r="AW737" s="103"/>
      <c r="AX737" s="103"/>
      <c r="AY737" s="103"/>
      <c r="AZ737" s="103"/>
      <c r="BA737" s="103"/>
      <c r="BB737" s="103"/>
      <c r="BC737" s="103"/>
      <c r="BD737" s="103"/>
      <c r="BE737" s="103"/>
    </row>
    <row r="738" ht="15.75" customHeight="1">
      <c r="A738" s="174"/>
      <c r="B738" s="180"/>
      <c r="C738" s="183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184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  <c r="AR738" s="103"/>
      <c r="AS738" s="103"/>
      <c r="AT738" s="103"/>
      <c r="AU738" s="103"/>
      <c r="AV738" s="103"/>
      <c r="AW738" s="103"/>
      <c r="AX738" s="103"/>
      <c r="AY738" s="103"/>
      <c r="AZ738" s="103"/>
      <c r="BA738" s="103"/>
      <c r="BB738" s="103"/>
      <c r="BC738" s="103"/>
      <c r="BD738" s="103"/>
      <c r="BE738" s="103"/>
    </row>
    <row r="739" ht="15.75" customHeight="1">
      <c r="A739" s="174"/>
      <c r="B739" s="180"/>
      <c r="C739" s="183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184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  <c r="AR739" s="103"/>
      <c r="AS739" s="103"/>
      <c r="AT739" s="103"/>
      <c r="AU739" s="103"/>
      <c r="AV739" s="103"/>
      <c r="AW739" s="103"/>
      <c r="AX739" s="103"/>
      <c r="AY739" s="103"/>
      <c r="AZ739" s="103"/>
      <c r="BA739" s="103"/>
      <c r="BB739" s="103"/>
      <c r="BC739" s="103"/>
      <c r="BD739" s="103"/>
      <c r="BE739" s="103"/>
    </row>
    <row r="740" ht="15.75" customHeight="1">
      <c r="A740" s="174"/>
      <c r="B740" s="180"/>
      <c r="C740" s="183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184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  <c r="AR740" s="103"/>
      <c r="AS740" s="103"/>
      <c r="AT740" s="103"/>
      <c r="AU740" s="103"/>
      <c r="AV740" s="103"/>
      <c r="AW740" s="103"/>
      <c r="AX740" s="103"/>
      <c r="AY740" s="103"/>
      <c r="AZ740" s="103"/>
      <c r="BA740" s="103"/>
      <c r="BB740" s="103"/>
      <c r="BC740" s="103"/>
      <c r="BD740" s="103"/>
      <c r="BE740" s="103"/>
    </row>
    <row r="741" ht="15.75" customHeight="1">
      <c r="A741" s="174"/>
      <c r="B741" s="180"/>
      <c r="C741" s="183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184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  <c r="AR741" s="103"/>
      <c r="AS741" s="103"/>
      <c r="AT741" s="103"/>
      <c r="AU741" s="103"/>
      <c r="AV741" s="103"/>
      <c r="AW741" s="103"/>
      <c r="AX741" s="103"/>
      <c r="AY741" s="103"/>
      <c r="AZ741" s="103"/>
      <c r="BA741" s="103"/>
      <c r="BB741" s="103"/>
      <c r="BC741" s="103"/>
      <c r="BD741" s="103"/>
      <c r="BE741" s="103"/>
    </row>
    <row r="742" ht="15.75" customHeight="1">
      <c r="A742" s="174"/>
      <c r="B742" s="180"/>
      <c r="C742" s="183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184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  <c r="AR742" s="103"/>
      <c r="AS742" s="103"/>
      <c r="AT742" s="103"/>
      <c r="AU742" s="103"/>
      <c r="AV742" s="103"/>
      <c r="AW742" s="103"/>
      <c r="AX742" s="103"/>
      <c r="AY742" s="103"/>
      <c r="AZ742" s="103"/>
      <c r="BA742" s="103"/>
      <c r="BB742" s="103"/>
      <c r="BC742" s="103"/>
      <c r="BD742" s="103"/>
      <c r="BE742" s="103"/>
    </row>
    <row r="743" ht="15.75" customHeight="1">
      <c r="A743" s="174"/>
      <c r="B743" s="180"/>
      <c r="C743" s="183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184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  <c r="AR743" s="103"/>
      <c r="AS743" s="103"/>
      <c r="AT743" s="103"/>
      <c r="AU743" s="103"/>
      <c r="AV743" s="103"/>
      <c r="AW743" s="103"/>
      <c r="AX743" s="103"/>
      <c r="AY743" s="103"/>
      <c r="AZ743" s="103"/>
      <c r="BA743" s="103"/>
      <c r="BB743" s="103"/>
      <c r="BC743" s="103"/>
      <c r="BD743" s="103"/>
      <c r="BE743" s="103"/>
    </row>
    <row r="744" ht="15.75" customHeight="1">
      <c r="A744" s="174"/>
      <c r="B744" s="180"/>
      <c r="C744" s="183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184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  <c r="AS744" s="103"/>
      <c r="AT744" s="103"/>
      <c r="AU744" s="103"/>
      <c r="AV744" s="103"/>
      <c r="AW744" s="103"/>
      <c r="AX744" s="103"/>
      <c r="AY744" s="103"/>
      <c r="AZ744" s="103"/>
      <c r="BA744" s="103"/>
      <c r="BB744" s="103"/>
      <c r="BC744" s="103"/>
      <c r="BD744" s="103"/>
      <c r="BE744" s="103"/>
    </row>
    <row r="745" ht="15.75" customHeight="1">
      <c r="A745" s="174"/>
      <c r="B745" s="180"/>
      <c r="C745" s="183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184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  <c r="AR745" s="103"/>
      <c r="AS745" s="103"/>
      <c r="AT745" s="103"/>
      <c r="AU745" s="103"/>
      <c r="AV745" s="103"/>
      <c r="AW745" s="103"/>
      <c r="AX745" s="103"/>
      <c r="AY745" s="103"/>
      <c r="AZ745" s="103"/>
      <c r="BA745" s="103"/>
      <c r="BB745" s="103"/>
      <c r="BC745" s="103"/>
      <c r="BD745" s="103"/>
      <c r="BE745" s="103"/>
    </row>
    <row r="746" ht="15.75" customHeight="1">
      <c r="A746" s="174"/>
      <c r="B746" s="180"/>
      <c r="C746" s="183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184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  <c r="AR746" s="103"/>
      <c r="AS746" s="103"/>
      <c r="AT746" s="103"/>
      <c r="AU746" s="103"/>
      <c r="AV746" s="103"/>
      <c r="AW746" s="103"/>
      <c r="AX746" s="103"/>
      <c r="AY746" s="103"/>
      <c r="AZ746" s="103"/>
      <c r="BA746" s="103"/>
      <c r="BB746" s="103"/>
      <c r="BC746" s="103"/>
      <c r="BD746" s="103"/>
      <c r="BE746" s="103"/>
    </row>
    <row r="747" ht="15.75" customHeight="1">
      <c r="A747" s="174"/>
      <c r="B747" s="180"/>
      <c r="C747" s="183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184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  <c r="AR747" s="103"/>
      <c r="AS747" s="103"/>
      <c r="AT747" s="103"/>
      <c r="AU747" s="103"/>
      <c r="AV747" s="103"/>
      <c r="AW747" s="103"/>
      <c r="AX747" s="103"/>
      <c r="AY747" s="103"/>
      <c r="AZ747" s="103"/>
      <c r="BA747" s="103"/>
      <c r="BB747" s="103"/>
      <c r="BC747" s="103"/>
      <c r="BD747" s="103"/>
      <c r="BE747" s="103"/>
    </row>
    <row r="748" ht="15.75" customHeight="1">
      <c r="A748" s="174"/>
      <c r="B748" s="180"/>
      <c r="C748" s="183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184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  <c r="AS748" s="103"/>
      <c r="AT748" s="103"/>
      <c r="AU748" s="103"/>
      <c r="AV748" s="103"/>
      <c r="AW748" s="103"/>
      <c r="AX748" s="103"/>
      <c r="AY748" s="103"/>
      <c r="AZ748" s="103"/>
      <c r="BA748" s="103"/>
      <c r="BB748" s="103"/>
      <c r="BC748" s="103"/>
      <c r="BD748" s="103"/>
      <c r="BE748" s="103"/>
    </row>
    <row r="749" ht="15.75" customHeight="1">
      <c r="A749" s="174"/>
      <c r="B749" s="180"/>
      <c r="C749" s="183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184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  <c r="AR749" s="103"/>
      <c r="AS749" s="103"/>
      <c r="AT749" s="103"/>
      <c r="AU749" s="103"/>
      <c r="AV749" s="103"/>
      <c r="AW749" s="103"/>
      <c r="AX749" s="103"/>
      <c r="AY749" s="103"/>
      <c r="AZ749" s="103"/>
      <c r="BA749" s="103"/>
      <c r="BB749" s="103"/>
      <c r="BC749" s="103"/>
      <c r="BD749" s="103"/>
      <c r="BE749" s="103"/>
    </row>
    <row r="750" ht="15.75" customHeight="1">
      <c r="A750" s="174"/>
      <c r="B750" s="180"/>
      <c r="C750" s="183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184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  <c r="AR750" s="103"/>
      <c r="AS750" s="103"/>
      <c r="AT750" s="103"/>
      <c r="AU750" s="103"/>
      <c r="AV750" s="103"/>
      <c r="AW750" s="103"/>
      <c r="AX750" s="103"/>
      <c r="AY750" s="103"/>
      <c r="AZ750" s="103"/>
      <c r="BA750" s="103"/>
      <c r="BB750" s="103"/>
      <c r="BC750" s="103"/>
      <c r="BD750" s="103"/>
      <c r="BE750" s="103"/>
    </row>
    <row r="751" ht="15.75" customHeight="1">
      <c r="A751" s="174"/>
      <c r="B751" s="180"/>
      <c r="C751" s="183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184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  <c r="AR751" s="103"/>
      <c r="AS751" s="103"/>
      <c r="AT751" s="103"/>
      <c r="AU751" s="103"/>
      <c r="AV751" s="103"/>
      <c r="AW751" s="103"/>
      <c r="AX751" s="103"/>
      <c r="AY751" s="103"/>
      <c r="AZ751" s="103"/>
      <c r="BA751" s="103"/>
      <c r="BB751" s="103"/>
      <c r="BC751" s="103"/>
      <c r="BD751" s="103"/>
      <c r="BE751" s="103"/>
    </row>
    <row r="752" ht="15.75" customHeight="1">
      <c r="A752" s="174"/>
      <c r="B752" s="180"/>
      <c r="C752" s="183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184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  <c r="AR752" s="103"/>
      <c r="AS752" s="103"/>
      <c r="AT752" s="103"/>
      <c r="AU752" s="103"/>
      <c r="AV752" s="103"/>
      <c r="AW752" s="103"/>
      <c r="AX752" s="103"/>
      <c r="AY752" s="103"/>
      <c r="AZ752" s="103"/>
      <c r="BA752" s="103"/>
      <c r="BB752" s="103"/>
      <c r="BC752" s="103"/>
      <c r="BD752" s="103"/>
      <c r="BE752" s="103"/>
    </row>
    <row r="753" ht="15.75" customHeight="1">
      <c r="A753" s="174"/>
      <c r="B753" s="180"/>
      <c r="C753" s="183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184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  <c r="AR753" s="103"/>
      <c r="AS753" s="103"/>
      <c r="AT753" s="103"/>
      <c r="AU753" s="103"/>
      <c r="AV753" s="103"/>
      <c r="AW753" s="103"/>
      <c r="AX753" s="103"/>
      <c r="AY753" s="103"/>
      <c r="AZ753" s="103"/>
      <c r="BA753" s="103"/>
      <c r="BB753" s="103"/>
      <c r="BC753" s="103"/>
      <c r="BD753" s="103"/>
      <c r="BE753" s="103"/>
    </row>
    <row r="754" ht="15.75" customHeight="1">
      <c r="A754" s="174"/>
      <c r="B754" s="180"/>
      <c r="C754" s="183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184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  <c r="AS754" s="103"/>
      <c r="AT754" s="103"/>
      <c r="AU754" s="103"/>
      <c r="AV754" s="103"/>
      <c r="AW754" s="103"/>
      <c r="AX754" s="103"/>
      <c r="AY754" s="103"/>
      <c r="AZ754" s="103"/>
      <c r="BA754" s="103"/>
      <c r="BB754" s="103"/>
      <c r="BC754" s="103"/>
      <c r="BD754" s="103"/>
      <c r="BE754" s="103"/>
    </row>
    <row r="755" ht="15.75" customHeight="1">
      <c r="A755" s="174"/>
      <c r="B755" s="180"/>
      <c r="C755" s="183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184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  <c r="AS755" s="103"/>
      <c r="AT755" s="103"/>
      <c r="AU755" s="103"/>
      <c r="AV755" s="103"/>
      <c r="AW755" s="103"/>
      <c r="AX755" s="103"/>
      <c r="AY755" s="103"/>
      <c r="AZ755" s="103"/>
      <c r="BA755" s="103"/>
      <c r="BB755" s="103"/>
      <c r="BC755" s="103"/>
      <c r="BD755" s="103"/>
      <c r="BE755" s="103"/>
    </row>
    <row r="756" ht="15.75" customHeight="1">
      <c r="A756" s="174"/>
      <c r="B756" s="180"/>
      <c r="C756" s="183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184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  <c r="AR756" s="103"/>
      <c r="AS756" s="103"/>
      <c r="AT756" s="103"/>
      <c r="AU756" s="103"/>
      <c r="AV756" s="103"/>
      <c r="AW756" s="103"/>
      <c r="AX756" s="103"/>
      <c r="AY756" s="103"/>
      <c r="AZ756" s="103"/>
      <c r="BA756" s="103"/>
      <c r="BB756" s="103"/>
      <c r="BC756" s="103"/>
      <c r="BD756" s="103"/>
      <c r="BE756" s="103"/>
    </row>
    <row r="757" ht="15.75" customHeight="1">
      <c r="A757" s="174"/>
      <c r="B757" s="180"/>
      <c r="C757" s="183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184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  <c r="AR757" s="103"/>
      <c r="AS757" s="103"/>
      <c r="AT757" s="103"/>
      <c r="AU757" s="103"/>
      <c r="AV757" s="103"/>
      <c r="AW757" s="103"/>
      <c r="AX757" s="103"/>
      <c r="AY757" s="103"/>
      <c r="AZ757" s="103"/>
      <c r="BA757" s="103"/>
      <c r="BB757" s="103"/>
      <c r="BC757" s="103"/>
      <c r="BD757" s="103"/>
      <c r="BE757" s="103"/>
    </row>
    <row r="758" ht="15.75" customHeight="1">
      <c r="A758" s="174"/>
      <c r="B758" s="180"/>
      <c r="C758" s="183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184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  <c r="AR758" s="103"/>
      <c r="AS758" s="103"/>
      <c r="AT758" s="103"/>
      <c r="AU758" s="103"/>
      <c r="AV758" s="103"/>
      <c r="AW758" s="103"/>
      <c r="AX758" s="103"/>
      <c r="AY758" s="103"/>
      <c r="AZ758" s="103"/>
      <c r="BA758" s="103"/>
      <c r="BB758" s="103"/>
      <c r="BC758" s="103"/>
      <c r="BD758" s="103"/>
      <c r="BE758" s="103"/>
    </row>
    <row r="759" ht="15.75" customHeight="1">
      <c r="A759" s="174"/>
      <c r="B759" s="180"/>
      <c r="C759" s="183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184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  <c r="AR759" s="103"/>
      <c r="AS759" s="103"/>
      <c r="AT759" s="103"/>
      <c r="AU759" s="103"/>
      <c r="AV759" s="103"/>
      <c r="AW759" s="103"/>
      <c r="AX759" s="103"/>
      <c r="AY759" s="103"/>
      <c r="AZ759" s="103"/>
      <c r="BA759" s="103"/>
      <c r="BB759" s="103"/>
      <c r="BC759" s="103"/>
      <c r="BD759" s="103"/>
      <c r="BE759" s="103"/>
    </row>
    <row r="760" ht="15.75" customHeight="1">
      <c r="A760" s="174"/>
      <c r="B760" s="180"/>
      <c r="C760" s="183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184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  <c r="AR760" s="103"/>
      <c r="AS760" s="103"/>
      <c r="AT760" s="103"/>
      <c r="AU760" s="103"/>
      <c r="AV760" s="103"/>
      <c r="AW760" s="103"/>
      <c r="AX760" s="103"/>
      <c r="AY760" s="103"/>
      <c r="AZ760" s="103"/>
      <c r="BA760" s="103"/>
      <c r="BB760" s="103"/>
      <c r="BC760" s="103"/>
      <c r="BD760" s="103"/>
      <c r="BE760" s="103"/>
    </row>
    <row r="761" ht="15.75" customHeight="1">
      <c r="A761" s="174"/>
      <c r="B761" s="180"/>
      <c r="C761" s="183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184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  <c r="AR761" s="103"/>
      <c r="AS761" s="103"/>
      <c r="AT761" s="103"/>
      <c r="AU761" s="103"/>
      <c r="AV761" s="103"/>
      <c r="AW761" s="103"/>
      <c r="AX761" s="103"/>
      <c r="AY761" s="103"/>
      <c r="AZ761" s="103"/>
      <c r="BA761" s="103"/>
      <c r="BB761" s="103"/>
      <c r="BC761" s="103"/>
      <c r="BD761" s="103"/>
      <c r="BE761" s="103"/>
    </row>
    <row r="762" ht="15.75" customHeight="1">
      <c r="A762" s="174"/>
      <c r="B762" s="180"/>
      <c r="C762" s="183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184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  <c r="AR762" s="103"/>
      <c r="AS762" s="103"/>
      <c r="AT762" s="103"/>
      <c r="AU762" s="103"/>
      <c r="AV762" s="103"/>
      <c r="AW762" s="103"/>
      <c r="AX762" s="103"/>
      <c r="AY762" s="103"/>
      <c r="AZ762" s="103"/>
      <c r="BA762" s="103"/>
      <c r="BB762" s="103"/>
      <c r="BC762" s="103"/>
      <c r="BD762" s="103"/>
      <c r="BE762" s="103"/>
    </row>
    <row r="763" ht="15.75" customHeight="1">
      <c r="A763" s="174"/>
      <c r="B763" s="180"/>
      <c r="C763" s="183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184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  <c r="AR763" s="103"/>
      <c r="AS763" s="103"/>
      <c r="AT763" s="103"/>
      <c r="AU763" s="103"/>
      <c r="AV763" s="103"/>
      <c r="AW763" s="103"/>
      <c r="AX763" s="103"/>
      <c r="AY763" s="103"/>
      <c r="AZ763" s="103"/>
      <c r="BA763" s="103"/>
      <c r="BB763" s="103"/>
      <c r="BC763" s="103"/>
      <c r="BD763" s="103"/>
      <c r="BE763" s="103"/>
    </row>
    <row r="764" ht="15.75" customHeight="1">
      <c r="A764" s="174"/>
      <c r="B764" s="180"/>
      <c r="C764" s="183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184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  <c r="AR764" s="103"/>
      <c r="AS764" s="103"/>
      <c r="AT764" s="103"/>
      <c r="AU764" s="103"/>
      <c r="AV764" s="103"/>
      <c r="AW764" s="103"/>
      <c r="AX764" s="103"/>
      <c r="AY764" s="103"/>
      <c r="AZ764" s="103"/>
      <c r="BA764" s="103"/>
      <c r="BB764" s="103"/>
      <c r="BC764" s="103"/>
      <c r="BD764" s="103"/>
      <c r="BE764" s="103"/>
    </row>
    <row r="765" ht="15.75" customHeight="1">
      <c r="A765" s="174"/>
      <c r="B765" s="180"/>
      <c r="C765" s="183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184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  <c r="AR765" s="103"/>
      <c r="AS765" s="103"/>
      <c r="AT765" s="103"/>
      <c r="AU765" s="103"/>
      <c r="AV765" s="103"/>
      <c r="AW765" s="103"/>
      <c r="AX765" s="103"/>
      <c r="AY765" s="103"/>
      <c r="AZ765" s="103"/>
      <c r="BA765" s="103"/>
      <c r="BB765" s="103"/>
      <c r="BC765" s="103"/>
      <c r="BD765" s="103"/>
      <c r="BE765" s="103"/>
    </row>
    <row r="766" ht="15.75" customHeight="1">
      <c r="A766" s="174"/>
      <c r="B766" s="180"/>
      <c r="C766" s="183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184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  <c r="AR766" s="103"/>
      <c r="AS766" s="103"/>
      <c r="AT766" s="103"/>
      <c r="AU766" s="103"/>
      <c r="AV766" s="103"/>
      <c r="AW766" s="103"/>
      <c r="AX766" s="103"/>
      <c r="AY766" s="103"/>
      <c r="AZ766" s="103"/>
      <c r="BA766" s="103"/>
      <c r="BB766" s="103"/>
      <c r="BC766" s="103"/>
      <c r="BD766" s="103"/>
      <c r="BE766" s="103"/>
    </row>
    <row r="767" ht="15.75" customHeight="1">
      <c r="A767" s="174"/>
      <c r="B767" s="180"/>
      <c r="C767" s="183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184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  <c r="AR767" s="103"/>
      <c r="AS767" s="103"/>
      <c r="AT767" s="103"/>
      <c r="AU767" s="103"/>
      <c r="AV767" s="103"/>
      <c r="AW767" s="103"/>
      <c r="AX767" s="103"/>
      <c r="AY767" s="103"/>
      <c r="AZ767" s="103"/>
      <c r="BA767" s="103"/>
      <c r="BB767" s="103"/>
      <c r="BC767" s="103"/>
      <c r="BD767" s="103"/>
      <c r="BE767" s="103"/>
    </row>
    <row r="768" ht="15.75" customHeight="1">
      <c r="A768" s="174"/>
      <c r="B768" s="180"/>
      <c r="C768" s="183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184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  <c r="AR768" s="103"/>
      <c r="AS768" s="103"/>
      <c r="AT768" s="103"/>
      <c r="AU768" s="103"/>
      <c r="AV768" s="103"/>
      <c r="AW768" s="103"/>
      <c r="AX768" s="103"/>
      <c r="AY768" s="103"/>
      <c r="AZ768" s="103"/>
      <c r="BA768" s="103"/>
      <c r="BB768" s="103"/>
      <c r="BC768" s="103"/>
      <c r="BD768" s="103"/>
      <c r="BE768" s="103"/>
    </row>
    <row r="769" ht="15.75" customHeight="1">
      <c r="A769" s="174"/>
      <c r="B769" s="180"/>
      <c r="C769" s="183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184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  <c r="AR769" s="103"/>
      <c r="AS769" s="103"/>
      <c r="AT769" s="103"/>
      <c r="AU769" s="103"/>
      <c r="AV769" s="103"/>
      <c r="AW769" s="103"/>
      <c r="AX769" s="103"/>
      <c r="AY769" s="103"/>
      <c r="AZ769" s="103"/>
      <c r="BA769" s="103"/>
      <c r="BB769" s="103"/>
      <c r="BC769" s="103"/>
      <c r="BD769" s="103"/>
      <c r="BE769" s="103"/>
    </row>
    <row r="770" ht="15.75" customHeight="1">
      <c r="A770" s="174"/>
      <c r="B770" s="180"/>
      <c r="C770" s="183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184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  <c r="AR770" s="103"/>
      <c r="AS770" s="103"/>
      <c r="AT770" s="103"/>
      <c r="AU770" s="103"/>
      <c r="AV770" s="103"/>
      <c r="AW770" s="103"/>
      <c r="AX770" s="103"/>
      <c r="AY770" s="103"/>
      <c r="AZ770" s="103"/>
      <c r="BA770" s="103"/>
      <c r="BB770" s="103"/>
      <c r="BC770" s="103"/>
      <c r="BD770" s="103"/>
      <c r="BE770" s="103"/>
    </row>
    <row r="771" ht="15.75" customHeight="1">
      <c r="A771" s="174"/>
      <c r="B771" s="180"/>
      <c r="C771" s="183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184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  <c r="AR771" s="103"/>
      <c r="AS771" s="103"/>
      <c r="AT771" s="103"/>
      <c r="AU771" s="103"/>
      <c r="AV771" s="103"/>
      <c r="AW771" s="103"/>
      <c r="AX771" s="103"/>
      <c r="AY771" s="103"/>
      <c r="AZ771" s="103"/>
      <c r="BA771" s="103"/>
      <c r="BB771" s="103"/>
      <c r="BC771" s="103"/>
      <c r="BD771" s="103"/>
      <c r="BE771" s="103"/>
    </row>
    <row r="772" ht="15.75" customHeight="1">
      <c r="A772" s="174"/>
      <c r="B772" s="180"/>
      <c r="C772" s="183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184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  <c r="AR772" s="103"/>
      <c r="AS772" s="103"/>
      <c r="AT772" s="103"/>
      <c r="AU772" s="103"/>
      <c r="AV772" s="103"/>
      <c r="AW772" s="103"/>
      <c r="AX772" s="103"/>
      <c r="AY772" s="103"/>
      <c r="AZ772" s="103"/>
      <c r="BA772" s="103"/>
      <c r="BB772" s="103"/>
      <c r="BC772" s="103"/>
      <c r="BD772" s="103"/>
      <c r="BE772" s="103"/>
    </row>
    <row r="773" ht="15.75" customHeight="1">
      <c r="A773" s="174"/>
      <c r="B773" s="180"/>
      <c r="C773" s="183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184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  <c r="AR773" s="103"/>
      <c r="AS773" s="103"/>
      <c r="AT773" s="103"/>
      <c r="AU773" s="103"/>
      <c r="AV773" s="103"/>
      <c r="AW773" s="103"/>
      <c r="AX773" s="103"/>
      <c r="AY773" s="103"/>
      <c r="AZ773" s="103"/>
      <c r="BA773" s="103"/>
      <c r="BB773" s="103"/>
      <c r="BC773" s="103"/>
      <c r="BD773" s="103"/>
      <c r="BE773" s="103"/>
    </row>
    <row r="774" ht="15.75" customHeight="1">
      <c r="A774" s="174"/>
      <c r="B774" s="180"/>
      <c r="C774" s="183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184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  <c r="AR774" s="103"/>
      <c r="AS774" s="103"/>
      <c r="AT774" s="103"/>
      <c r="AU774" s="103"/>
      <c r="AV774" s="103"/>
      <c r="AW774" s="103"/>
      <c r="AX774" s="103"/>
      <c r="AY774" s="103"/>
      <c r="AZ774" s="103"/>
      <c r="BA774" s="103"/>
      <c r="BB774" s="103"/>
      <c r="BC774" s="103"/>
      <c r="BD774" s="103"/>
      <c r="BE774" s="103"/>
    </row>
    <row r="775" ht="15.75" customHeight="1">
      <c r="A775" s="174"/>
      <c r="B775" s="180"/>
      <c r="C775" s="183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184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  <c r="AR775" s="103"/>
      <c r="AS775" s="103"/>
      <c r="AT775" s="103"/>
      <c r="AU775" s="103"/>
      <c r="AV775" s="103"/>
      <c r="AW775" s="103"/>
      <c r="AX775" s="103"/>
      <c r="AY775" s="103"/>
      <c r="AZ775" s="103"/>
      <c r="BA775" s="103"/>
      <c r="BB775" s="103"/>
      <c r="BC775" s="103"/>
      <c r="BD775" s="103"/>
      <c r="BE775" s="103"/>
    </row>
    <row r="776" ht="15.75" customHeight="1">
      <c r="A776" s="174"/>
      <c r="B776" s="180"/>
      <c r="C776" s="183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184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  <c r="AR776" s="103"/>
      <c r="AS776" s="103"/>
      <c r="AT776" s="103"/>
      <c r="AU776" s="103"/>
      <c r="AV776" s="103"/>
      <c r="AW776" s="103"/>
      <c r="AX776" s="103"/>
      <c r="AY776" s="103"/>
      <c r="AZ776" s="103"/>
      <c r="BA776" s="103"/>
      <c r="BB776" s="103"/>
      <c r="BC776" s="103"/>
      <c r="BD776" s="103"/>
      <c r="BE776" s="103"/>
    </row>
    <row r="777" ht="15.75" customHeight="1">
      <c r="A777" s="174"/>
      <c r="B777" s="180"/>
      <c r="C777" s="183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184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  <c r="AR777" s="103"/>
      <c r="AS777" s="103"/>
      <c r="AT777" s="103"/>
      <c r="AU777" s="103"/>
      <c r="AV777" s="103"/>
      <c r="AW777" s="103"/>
      <c r="AX777" s="103"/>
      <c r="AY777" s="103"/>
      <c r="AZ777" s="103"/>
      <c r="BA777" s="103"/>
      <c r="BB777" s="103"/>
      <c r="BC777" s="103"/>
      <c r="BD777" s="103"/>
      <c r="BE777" s="103"/>
    </row>
    <row r="778" ht="15.75" customHeight="1">
      <c r="A778" s="174"/>
      <c r="B778" s="180"/>
      <c r="C778" s="183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184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  <c r="AS778" s="103"/>
      <c r="AT778" s="103"/>
      <c r="AU778" s="103"/>
      <c r="AV778" s="103"/>
      <c r="AW778" s="103"/>
      <c r="AX778" s="103"/>
      <c r="AY778" s="103"/>
      <c r="AZ778" s="103"/>
      <c r="BA778" s="103"/>
      <c r="BB778" s="103"/>
      <c r="BC778" s="103"/>
      <c r="BD778" s="103"/>
      <c r="BE778" s="103"/>
    </row>
    <row r="779" ht="15.75" customHeight="1">
      <c r="A779" s="174"/>
      <c r="B779" s="180"/>
      <c r="C779" s="183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184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  <c r="AR779" s="103"/>
      <c r="AS779" s="103"/>
      <c r="AT779" s="103"/>
      <c r="AU779" s="103"/>
      <c r="AV779" s="103"/>
      <c r="AW779" s="103"/>
      <c r="AX779" s="103"/>
      <c r="AY779" s="103"/>
      <c r="AZ779" s="103"/>
      <c r="BA779" s="103"/>
      <c r="BB779" s="103"/>
      <c r="BC779" s="103"/>
      <c r="BD779" s="103"/>
      <c r="BE779" s="103"/>
    </row>
    <row r="780" ht="15.75" customHeight="1">
      <c r="A780" s="174"/>
      <c r="B780" s="180"/>
      <c r="C780" s="183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184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  <c r="AS780" s="103"/>
      <c r="AT780" s="103"/>
      <c r="AU780" s="103"/>
      <c r="AV780" s="103"/>
      <c r="AW780" s="103"/>
      <c r="AX780" s="103"/>
      <c r="AY780" s="103"/>
      <c r="AZ780" s="103"/>
      <c r="BA780" s="103"/>
      <c r="BB780" s="103"/>
      <c r="BC780" s="103"/>
      <c r="BD780" s="103"/>
      <c r="BE780" s="103"/>
    </row>
    <row r="781" ht="15.75" customHeight="1">
      <c r="A781" s="174"/>
      <c r="B781" s="180"/>
      <c r="C781" s="183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184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  <c r="AS781" s="103"/>
      <c r="AT781" s="103"/>
      <c r="AU781" s="103"/>
      <c r="AV781" s="103"/>
      <c r="AW781" s="103"/>
      <c r="AX781" s="103"/>
      <c r="AY781" s="103"/>
      <c r="AZ781" s="103"/>
      <c r="BA781" s="103"/>
      <c r="BB781" s="103"/>
      <c r="BC781" s="103"/>
      <c r="BD781" s="103"/>
      <c r="BE781" s="103"/>
    </row>
    <row r="782" ht="15.75" customHeight="1">
      <c r="A782" s="174"/>
      <c r="B782" s="180"/>
      <c r="C782" s="183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184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  <c r="AR782" s="103"/>
      <c r="AS782" s="103"/>
      <c r="AT782" s="103"/>
      <c r="AU782" s="103"/>
      <c r="AV782" s="103"/>
      <c r="AW782" s="103"/>
      <c r="AX782" s="103"/>
      <c r="AY782" s="103"/>
      <c r="AZ782" s="103"/>
      <c r="BA782" s="103"/>
      <c r="BB782" s="103"/>
      <c r="BC782" s="103"/>
      <c r="BD782" s="103"/>
      <c r="BE782" s="103"/>
    </row>
    <row r="783" ht="15.75" customHeight="1">
      <c r="A783" s="174"/>
      <c r="B783" s="180"/>
      <c r="C783" s="183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184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  <c r="AR783" s="103"/>
      <c r="AS783" s="103"/>
      <c r="AT783" s="103"/>
      <c r="AU783" s="103"/>
      <c r="AV783" s="103"/>
      <c r="AW783" s="103"/>
      <c r="AX783" s="103"/>
      <c r="AY783" s="103"/>
      <c r="AZ783" s="103"/>
      <c r="BA783" s="103"/>
      <c r="BB783" s="103"/>
      <c r="BC783" s="103"/>
      <c r="BD783" s="103"/>
      <c r="BE783" s="103"/>
    </row>
    <row r="784" ht="15.75" customHeight="1">
      <c r="A784" s="174"/>
      <c r="B784" s="180"/>
      <c r="C784" s="183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184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  <c r="AR784" s="103"/>
      <c r="AS784" s="103"/>
      <c r="AT784" s="103"/>
      <c r="AU784" s="103"/>
      <c r="AV784" s="103"/>
      <c r="AW784" s="103"/>
      <c r="AX784" s="103"/>
      <c r="AY784" s="103"/>
      <c r="AZ784" s="103"/>
      <c r="BA784" s="103"/>
      <c r="BB784" s="103"/>
      <c r="BC784" s="103"/>
      <c r="BD784" s="103"/>
      <c r="BE784" s="103"/>
    </row>
    <row r="785" ht="15.75" customHeight="1">
      <c r="A785" s="174"/>
      <c r="B785" s="180"/>
      <c r="C785" s="183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184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  <c r="AR785" s="103"/>
      <c r="AS785" s="103"/>
      <c r="AT785" s="103"/>
      <c r="AU785" s="103"/>
      <c r="AV785" s="103"/>
      <c r="AW785" s="103"/>
      <c r="AX785" s="103"/>
      <c r="AY785" s="103"/>
      <c r="AZ785" s="103"/>
      <c r="BA785" s="103"/>
      <c r="BB785" s="103"/>
      <c r="BC785" s="103"/>
      <c r="BD785" s="103"/>
      <c r="BE785" s="103"/>
    </row>
    <row r="786" ht="15.75" customHeight="1">
      <c r="A786" s="174"/>
      <c r="B786" s="180"/>
      <c r="C786" s="183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184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3"/>
      <c r="AV786" s="103"/>
      <c r="AW786" s="103"/>
      <c r="AX786" s="103"/>
      <c r="AY786" s="103"/>
      <c r="AZ786" s="103"/>
      <c r="BA786" s="103"/>
      <c r="BB786" s="103"/>
      <c r="BC786" s="103"/>
      <c r="BD786" s="103"/>
      <c r="BE786" s="103"/>
    </row>
    <row r="787" ht="15.75" customHeight="1">
      <c r="A787" s="174"/>
      <c r="B787" s="180"/>
      <c r="C787" s="183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184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  <c r="AR787" s="103"/>
      <c r="AS787" s="103"/>
      <c r="AT787" s="103"/>
      <c r="AU787" s="103"/>
      <c r="AV787" s="103"/>
      <c r="AW787" s="103"/>
      <c r="AX787" s="103"/>
      <c r="AY787" s="103"/>
      <c r="AZ787" s="103"/>
      <c r="BA787" s="103"/>
      <c r="BB787" s="103"/>
      <c r="BC787" s="103"/>
      <c r="BD787" s="103"/>
      <c r="BE787" s="103"/>
    </row>
    <row r="788" ht="15.75" customHeight="1">
      <c r="A788" s="174"/>
      <c r="B788" s="180"/>
      <c r="C788" s="183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184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  <c r="AR788" s="103"/>
      <c r="AS788" s="103"/>
      <c r="AT788" s="103"/>
      <c r="AU788" s="103"/>
      <c r="AV788" s="103"/>
      <c r="AW788" s="103"/>
      <c r="AX788" s="103"/>
      <c r="AY788" s="103"/>
      <c r="AZ788" s="103"/>
      <c r="BA788" s="103"/>
      <c r="BB788" s="103"/>
      <c r="BC788" s="103"/>
      <c r="BD788" s="103"/>
      <c r="BE788" s="103"/>
    </row>
    <row r="789" ht="15.75" customHeight="1">
      <c r="A789" s="174"/>
      <c r="B789" s="180"/>
      <c r="C789" s="183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184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  <c r="AR789" s="103"/>
      <c r="AS789" s="103"/>
      <c r="AT789" s="103"/>
      <c r="AU789" s="103"/>
      <c r="AV789" s="103"/>
      <c r="AW789" s="103"/>
      <c r="AX789" s="103"/>
      <c r="AY789" s="103"/>
      <c r="AZ789" s="103"/>
      <c r="BA789" s="103"/>
      <c r="BB789" s="103"/>
      <c r="BC789" s="103"/>
      <c r="BD789" s="103"/>
      <c r="BE789" s="103"/>
    </row>
    <row r="790" ht="15.75" customHeight="1">
      <c r="A790" s="174"/>
      <c r="B790" s="180"/>
      <c r="C790" s="183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184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  <c r="AS790" s="103"/>
      <c r="AT790" s="103"/>
      <c r="AU790" s="103"/>
      <c r="AV790" s="103"/>
      <c r="AW790" s="103"/>
      <c r="AX790" s="103"/>
      <c r="AY790" s="103"/>
      <c r="AZ790" s="103"/>
      <c r="BA790" s="103"/>
      <c r="BB790" s="103"/>
      <c r="BC790" s="103"/>
      <c r="BD790" s="103"/>
      <c r="BE790" s="103"/>
    </row>
    <row r="791" ht="15.75" customHeight="1">
      <c r="A791" s="174"/>
      <c r="B791" s="180"/>
      <c r="C791" s="183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184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  <c r="AS791" s="103"/>
      <c r="AT791" s="103"/>
      <c r="AU791" s="103"/>
      <c r="AV791" s="103"/>
      <c r="AW791" s="103"/>
      <c r="AX791" s="103"/>
      <c r="AY791" s="103"/>
      <c r="AZ791" s="103"/>
      <c r="BA791" s="103"/>
      <c r="BB791" s="103"/>
      <c r="BC791" s="103"/>
      <c r="BD791" s="103"/>
      <c r="BE791" s="103"/>
    </row>
    <row r="792" ht="15.75" customHeight="1">
      <c r="A792" s="174"/>
      <c r="B792" s="180"/>
      <c r="C792" s="183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184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  <c r="AR792" s="103"/>
      <c r="AS792" s="103"/>
      <c r="AT792" s="103"/>
      <c r="AU792" s="103"/>
      <c r="AV792" s="103"/>
      <c r="AW792" s="103"/>
      <c r="AX792" s="103"/>
      <c r="AY792" s="103"/>
      <c r="AZ792" s="103"/>
      <c r="BA792" s="103"/>
      <c r="BB792" s="103"/>
      <c r="BC792" s="103"/>
      <c r="BD792" s="103"/>
      <c r="BE792" s="103"/>
    </row>
    <row r="793" ht="15.75" customHeight="1">
      <c r="A793" s="174"/>
      <c r="B793" s="180"/>
      <c r="C793" s="183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184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  <c r="AR793" s="103"/>
      <c r="AS793" s="103"/>
      <c r="AT793" s="103"/>
      <c r="AU793" s="103"/>
      <c r="AV793" s="103"/>
      <c r="AW793" s="103"/>
      <c r="AX793" s="103"/>
      <c r="AY793" s="103"/>
      <c r="AZ793" s="103"/>
      <c r="BA793" s="103"/>
      <c r="BB793" s="103"/>
      <c r="BC793" s="103"/>
      <c r="BD793" s="103"/>
      <c r="BE793" s="103"/>
    </row>
    <row r="794" ht="15.75" customHeight="1">
      <c r="A794" s="174"/>
      <c r="B794" s="180"/>
      <c r="C794" s="183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184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  <c r="AS794" s="103"/>
      <c r="AT794" s="103"/>
      <c r="AU794" s="103"/>
      <c r="AV794" s="103"/>
      <c r="AW794" s="103"/>
      <c r="AX794" s="103"/>
      <c r="AY794" s="103"/>
      <c r="AZ794" s="103"/>
      <c r="BA794" s="103"/>
      <c r="BB794" s="103"/>
      <c r="BC794" s="103"/>
      <c r="BD794" s="103"/>
      <c r="BE794" s="103"/>
    </row>
    <row r="795" ht="15.75" customHeight="1">
      <c r="A795" s="174"/>
      <c r="B795" s="180"/>
      <c r="C795" s="183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184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  <c r="AR795" s="103"/>
      <c r="AS795" s="103"/>
      <c r="AT795" s="103"/>
      <c r="AU795" s="103"/>
      <c r="AV795" s="103"/>
      <c r="AW795" s="103"/>
      <c r="AX795" s="103"/>
      <c r="AY795" s="103"/>
      <c r="AZ795" s="103"/>
      <c r="BA795" s="103"/>
      <c r="BB795" s="103"/>
      <c r="BC795" s="103"/>
      <c r="BD795" s="103"/>
      <c r="BE795" s="103"/>
    </row>
    <row r="796" ht="15.75" customHeight="1">
      <c r="A796" s="174"/>
      <c r="B796" s="180"/>
      <c r="C796" s="183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184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  <c r="AR796" s="103"/>
      <c r="AS796" s="103"/>
      <c r="AT796" s="103"/>
      <c r="AU796" s="103"/>
      <c r="AV796" s="103"/>
      <c r="AW796" s="103"/>
      <c r="AX796" s="103"/>
      <c r="AY796" s="103"/>
      <c r="AZ796" s="103"/>
      <c r="BA796" s="103"/>
      <c r="BB796" s="103"/>
      <c r="BC796" s="103"/>
      <c r="BD796" s="103"/>
      <c r="BE796" s="103"/>
    </row>
    <row r="797" ht="15.75" customHeight="1">
      <c r="A797" s="174"/>
      <c r="B797" s="180"/>
      <c r="C797" s="183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184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  <c r="AR797" s="103"/>
      <c r="AS797" s="103"/>
      <c r="AT797" s="103"/>
      <c r="AU797" s="103"/>
      <c r="AV797" s="103"/>
      <c r="AW797" s="103"/>
      <c r="AX797" s="103"/>
      <c r="AY797" s="103"/>
      <c r="AZ797" s="103"/>
      <c r="BA797" s="103"/>
      <c r="BB797" s="103"/>
      <c r="BC797" s="103"/>
      <c r="BD797" s="103"/>
      <c r="BE797" s="103"/>
    </row>
    <row r="798" ht="15.75" customHeight="1">
      <c r="A798" s="174"/>
      <c r="B798" s="180"/>
      <c r="C798" s="183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184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  <c r="AR798" s="103"/>
      <c r="AS798" s="103"/>
      <c r="AT798" s="103"/>
      <c r="AU798" s="103"/>
      <c r="AV798" s="103"/>
      <c r="AW798" s="103"/>
      <c r="AX798" s="103"/>
      <c r="AY798" s="103"/>
      <c r="AZ798" s="103"/>
      <c r="BA798" s="103"/>
      <c r="BB798" s="103"/>
      <c r="BC798" s="103"/>
      <c r="BD798" s="103"/>
      <c r="BE798" s="103"/>
    </row>
    <row r="799" ht="15.75" customHeight="1">
      <c r="A799" s="174"/>
      <c r="B799" s="180"/>
      <c r="C799" s="183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184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  <c r="AR799" s="103"/>
      <c r="AS799" s="103"/>
      <c r="AT799" s="103"/>
      <c r="AU799" s="103"/>
      <c r="AV799" s="103"/>
      <c r="AW799" s="103"/>
      <c r="AX799" s="103"/>
      <c r="AY799" s="103"/>
      <c r="AZ799" s="103"/>
      <c r="BA799" s="103"/>
      <c r="BB799" s="103"/>
      <c r="BC799" s="103"/>
      <c r="BD799" s="103"/>
      <c r="BE799" s="103"/>
    </row>
    <row r="800" ht="15.75" customHeight="1">
      <c r="A800" s="174"/>
      <c r="B800" s="180"/>
      <c r="C800" s="183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184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  <c r="AR800" s="103"/>
      <c r="AS800" s="103"/>
      <c r="AT800" s="103"/>
      <c r="AU800" s="103"/>
      <c r="AV800" s="103"/>
      <c r="AW800" s="103"/>
      <c r="AX800" s="103"/>
      <c r="AY800" s="103"/>
      <c r="AZ800" s="103"/>
      <c r="BA800" s="103"/>
      <c r="BB800" s="103"/>
      <c r="BC800" s="103"/>
      <c r="BD800" s="103"/>
      <c r="BE800" s="103"/>
    </row>
    <row r="801" ht="15.75" customHeight="1">
      <c r="A801" s="174"/>
      <c r="B801" s="180"/>
      <c r="C801" s="183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184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  <c r="AR801" s="103"/>
      <c r="AS801" s="103"/>
      <c r="AT801" s="103"/>
      <c r="AU801" s="103"/>
      <c r="AV801" s="103"/>
      <c r="AW801" s="103"/>
      <c r="AX801" s="103"/>
      <c r="AY801" s="103"/>
      <c r="AZ801" s="103"/>
      <c r="BA801" s="103"/>
      <c r="BB801" s="103"/>
      <c r="BC801" s="103"/>
      <c r="BD801" s="103"/>
      <c r="BE801" s="103"/>
    </row>
    <row r="802" ht="15.75" customHeight="1">
      <c r="A802" s="174"/>
      <c r="B802" s="180"/>
      <c r="C802" s="183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184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  <c r="AR802" s="103"/>
      <c r="AS802" s="103"/>
      <c r="AT802" s="103"/>
      <c r="AU802" s="103"/>
      <c r="AV802" s="103"/>
      <c r="AW802" s="103"/>
      <c r="AX802" s="103"/>
      <c r="AY802" s="103"/>
      <c r="AZ802" s="103"/>
      <c r="BA802" s="103"/>
      <c r="BB802" s="103"/>
      <c r="BC802" s="103"/>
      <c r="BD802" s="103"/>
      <c r="BE802" s="103"/>
    </row>
    <row r="803" ht="15.75" customHeight="1">
      <c r="A803" s="174"/>
      <c r="B803" s="180"/>
      <c r="C803" s="183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184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  <c r="AR803" s="103"/>
      <c r="AS803" s="103"/>
      <c r="AT803" s="103"/>
      <c r="AU803" s="103"/>
      <c r="AV803" s="103"/>
      <c r="AW803" s="103"/>
      <c r="AX803" s="103"/>
      <c r="AY803" s="103"/>
      <c r="AZ803" s="103"/>
      <c r="BA803" s="103"/>
      <c r="BB803" s="103"/>
      <c r="BC803" s="103"/>
      <c r="BD803" s="103"/>
      <c r="BE803" s="103"/>
    </row>
    <row r="804" ht="15.75" customHeight="1">
      <c r="A804" s="174"/>
      <c r="B804" s="180"/>
      <c r="C804" s="183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184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  <c r="AR804" s="103"/>
      <c r="AS804" s="103"/>
      <c r="AT804" s="103"/>
      <c r="AU804" s="103"/>
      <c r="AV804" s="103"/>
      <c r="AW804" s="103"/>
      <c r="AX804" s="103"/>
      <c r="AY804" s="103"/>
      <c r="AZ804" s="103"/>
      <c r="BA804" s="103"/>
      <c r="BB804" s="103"/>
      <c r="BC804" s="103"/>
      <c r="BD804" s="103"/>
      <c r="BE804" s="103"/>
    </row>
    <row r="805" ht="15.75" customHeight="1">
      <c r="A805" s="174"/>
      <c r="B805" s="180"/>
      <c r="C805" s="183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184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  <c r="AR805" s="103"/>
      <c r="AS805" s="103"/>
      <c r="AT805" s="103"/>
      <c r="AU805" s="103"/>
      <c r="AV805" s="103"/>
      <c r="AW805" s="103"/>
      <c r="AX805" s="103"/>
      <c r="AY805" s="103"/>
      <c r="AZ805" s="103"/>
      <c r="BA805" s="103"/>
      <c r="BB805" s="103"/>
      <c r="BC805" s="103"/>
      <c r="BD805" s="103"/>
      <c r="BE805" s="103"/>
    </row>
    <row r="806" ht="15.75" customHeight="1">
      <c r="A806" s="174"/>
      <c r="B806" s="180"/>
      <c r="C806" s="183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184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  <c r="AR806" s="103"/>
      <c r="AS806" s="103"/>
      <c r="AT806" s="103"/>
      <c r="AU806" s="103"/>
      <c r="AV806" s="103"/>
      <c r="AW806" s="103"/>
      <c r="AX806" s="103"/>
      <c r="AY806" s="103"/>
      <c r="AZ806" s="103"/>
      <c r="BA806" s="103"/>
      <c r="BB806" s="103"/>
      <c r="BC806" s="103"/>
      <c r="BD806" s="103"/>
      <c r="BE806" s="103"/>
    </row>
    <row r="807" ht="15.75" customHeight="1">
      <c r="A807" s="174"/>
      <c r="B807" s="180"/>
      <c r="C807" s="183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184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  <c r="AR807" s="103"/>
      <c r="AS807" s="103"/>
      <c r="AT807" s="103"/>
      <c r="AU807" s="103"/>
      <c r="AV807" s="103"/>
      <c r="AW807" s="103"/>
      <c r="AX807" s="103"/>
      <c r="AY807" s="103"/>
      <c r="AZ807" s="103"/>
      <c r="BA807" s="103"/>
      <c r="BB807" s="103"/>
      <c r="BC807" s="103"/>
      <c r="BD807" s="103"/>
      <c r="BE807" s="103"/>
    </row>
    <row r="808" ht="15.75" customHeight="1">
      <c r="A808" s="174"/>
      <c r="B808" s="180"/>
      <c r="C808" s="183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184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  <c r="AR808" s="103"/>
      <c r="AS808" s="103"/>
      <c r="AT808" s="103"/>
      <c r="AU808" s="103"/>
      <c r="AV808" s="103"/>
      <c r="AW808" s="103"/>
      <c r="AX808" s="103"/>
      <c r="AY808" s="103"/>
      <c r="AZ808" s="103"/>
      <c r="BA808" s="103"/>
      <c r="BB808" s="103"/>
      <c r="BC808" s="103"/>
      <c r="BD808" s="103"/>
      <c r="BE808" s="103"/>
    </row>
    <row r="809" ht="15.75" customHeight="1">
      <c r="A809" s="174"/>
      <c r="B809" s="180"/>
      <c r="C809" s="183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184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  <c r="AR809" s="103"/>
      <c r="AS809" s="103"/>
      <c r="AT809" s="103"/>
      <c r="AU809" s="103"/>
      <c r="AV809" s="103"/>
      <c r="AW809" s="103"/>
      <c r="AX809" s="103"/>
      <c r="AY809" s="103"/>
      <c r="AZ809" s="103"/>
      <c r="BA809" s="103"/>
      <c r="BB809" s="103"/>
      <c r="BC809" s="103"/>
      <c r="BD809" s="103"/>
      <c r="BE809" s="103"/>
    </row>
    <row r="810" ht="15.75" customHeight="1">
      <c r="A810" s="174"/>
      <c r="B810" s="180"/>
      <c r="C810" s="183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184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  <c r="AR810" s="103"/>
      <c r="AS810" s="103"/>
      <c r="AT810" s="103"/>
      <c r="AU810" s="103"/>
      <c r="AV810" s="103"/>
      <c r="AW810" s="103"/>
      <c r="AX810" s="103"/>
      <c r="AY810" s="103"/>
      <c r="AZ810" s="103"/>
      <c r="BA810" s="103"/>
      <c r="BB810" s="103"/>
      <c r="BC810" s="103"/>
      <c r="BD810" s="103"/>
      <c r="BE810" s="103"/>
    </row>
    <row r="811" ht="15.75" customHeight="1">
      <c r="A811" s="174"/>
      <c r="B811" s="180"/>
      <c r="C811" s="183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184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  <c r="AR811" s="103"/>
      <c r="AS811" s="103"/>
      <c r="AT811" s="103"/>
      <c r="AU811" s="103"/>
      <c r="AV811" s="103"/>
      <c r="AW811" s="103"/>
      <c r="AX811" s="103"/>
      <c r="AY811" s="103"/>
      <c r="AZ811" s="103"/>
      <c r="BA811" s="103"/>
      <c r="BB811" s="103"/>
      <c r="BC811" s="103"/>
      <c r="BD811" s="103"/>
      <c r="BE811" s="103"/>
    </row>
    <row r="812" ht="15.75" customHeight="1">
      <c r="A812" s="174"/>
      <c r="B812" s="180"/>
      <c r="C812" s="183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184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  <c r="AR812" s="103"/>
      <c r="AS812" s="103"/>
      <c r="AT812" s="103"/>
      <c r="AU812" s="103"/>
      <c r="AV812" s="103"/>
      <c r="AW812" s="103"/>
      <c r="AX812" s="103"/>
      <c r="AY812" s="103"/>
      <c r="AZ812" s="103"/>
      <c r="BA812" s="103"/>
      <c r="BB812" s="103"/>
      <c r="BC812" s="103"/>
      <c r="BD812" s="103"/>
      <c r="BE812" s="103"/>
    </row>
    <row r="813" ht="15.75" customHeight="1">
      <c r="A813" s="174"/>
      <c r="B813" s="180"/>
      <c r="C813" s="183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184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  <c r="AR813" s="103"/>
      <c r="AS813" s="103"/>
      <c r="AT813" s="103"/>
      <c r="AU813" s="103"/>
      <c r="AV813" s="103"/>
      <c r="AW813" s="103"/>
      <c r="AX813" s="103"/>
      <c r="AY813" s="103"/>
      <c r="AZ813" s="103"/>
      <c r="BA813" s="103"/>
      <c r="BB813" s="103"/>
      <c r="BC813" s="103"/>
      <c r="BD813" s="103"/>
      <c r="BE813" s="103"/>
    </row>
    <row r="814" ht="15.75" customHeight="1">
      <c r="A814" s="174"/>
      <c r="B814" s="180"/>
      <c r="C814" s="183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184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  <c r="AR814" s="103"/>
      <c r="AS814" s="103"/>
      <c r="AT814" s="103"/>
      <c r="AU814" s="103"/>
      <c r="AV814" s="103"/>
      <c r="AW814" s="103"/>
      <c r="AX814" s="103"/>
      <c r="AY814" s="103"/>
      <c r="AZ814" s="103"/>
      <c r="BA814" s="103"/>
      <c r="BB814" s="103"/>
      <c r="BC814" s="103"/>
      <c r="BD814" s="103"/>
      <c r="BE814" s="103"/>
    </row>
    <row r="815" ht="15.75" customHeight="1">
      <c r="A815" s="174"/>
      <c r="B815" s="180"/>
      <c r="C815" s="183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184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  <c r="AR815" s="103"/>
      <c r="AS815" s="103"/>
      <c r="AT815" s="103"/>
      <c r="AU815" s="103"/>
      <c r="AV815" s="103"/>
      <c r="AW815" s="103"/>
      <c r="AX815" s="103"/>
      <c r="AY815" s="103"/>
      <c r="AZ815" s="103"/>
      <c r="BA815" s="103"/>
      <c r="BB815" s="103"/>
      <c r="BC815" s="103"/>
      <c r="BD815" s="103"/>
      <c r="BE815" s="103"/>
    </row>
    <row r="816" ht="15.75" customHeight="1">
      <c r="A816" s="174"/>
      <c r="B816" s="180"/>
      <c r="C816" s="183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184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  <c r="AR816" s="103"/>
      <c r="AS816" s="103"/>
      <c r="AT816" s="103"/>
      <c r="AU816" s="103"/>
      <c r="AV816" s="103"/>
      <c r="AW816" s="103"/>
      <c r="AX816" s="103"/>
      <c r="AY816" s="103"/>
      <c r="AZ816" s="103"/>
      <c r="BA816" s="103"/>
      <c r="BB816" s="103"/>
      <c r="BC816" s="103"/>
      <c r="BD816" s="103"/>
      <c r="BE816" s="103"/>
    </row>
    <row r="817" ht="15.75" customHeight="1">
      <c r="A817" s="174"/>
      <c r="B817" s="180"/>
      <c r="C817" s="183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184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  <c r="AR817" s="103"/>
      <c r="AS817" s="103"/>
      <c r="AT817" s="103"/>
      <c r="AU817" s="103"/>
      <c r="AV817" s="103"/>
      <c r="AW817" s="103"/>
      <c r="AX817" s="103"/>
      <c r="AY817" s="103"/>
      <c r="AZ817" s="103"/>
      <c r="BA817" s="103"/>
      <c r="BB817" s="103"/>
      <c r="BC817" s="103"/>
      <c r="BD817" s="103"/>
      <c r="BE817" s="103"/>
    </row>
    <row r="818" ht="15.75" customHeight="1">
      <c r="A818" s="174"/>
      <c r="B818" s="180"/>
      <c r="C818" s="183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184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  <c r="AR818" s="103"/>
      <c r="AS818" s="103"/>
      <c r="AT818" s="103"/>
      <c r="AU818" s="103"/>
      <c r="AV818" s="103"/>
      <c r="AW818" s="103"/>
      <c r="AX818" s="103"/>
      <c r="AY818" s="103"/>
      <c r="AZ818" s="103"/>
      <c r="BA818" s="103"/>
      <c r="BB818" s="103"/>
      <c r="BC818" s="103"/>
      <c r="BD818" s="103"/>
      <c r="BE818" s="103"/>
    </row>
    <row r="819" ht="15.75" customHeight="1">
      <c r="A819" s="174"/>
      <c r="B819" s="180"/>
      <c r="C819" s="183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184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  <c r="AR819" s="103"/>
      <c r="AS819" s="103"/>
      <c r="AT819" s="103"/>
      <c r="AU819" s="103"/>
      <c r="AV819" s="103"/>
      <c r="AW819" s="103"/>
      <c r="AX819" s="103"/>
      <c r="AY819" s="103"/>
      <c r="AZ819" s="103"/>
      <c r="BA819" s="103"/>
      <c r="BB819" s="103"/>
      <c r="BC819" s="103"/>
      <c r="BD819" s="103"/>
      <c r="BE819" s="103"/>
    </row>
    <row r="820" ht="15.75" customHeight="1">
      <c r="A820" s="174"/>
      <c r="B820" s="180"/>
      <c r="C820" s="183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184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  <c r="AR820" s="103"/>
      <c r="AS820" s="103"/>
      <c r="AT820" s="103"/>
      <c r="AU820" s="103"/>
      <c r="AV820" s="103"/>
      <c r="AW820" s="103"/>
      <c r="AX820" s="103"/>
      <c r="AY820" s="103"/>
      <c r="AZ820" s="103"/>
      <c r="BA820" s="103"/>
      <c r="BB820" s="103"/>
      <c r="BC820" s="103"/>
      <c r="BD820" s="103"/>
      <c r="BE820" s="103"/>
    </row>
    <row r="821" ht="15.75" customHeight="1">
      <c r="A821" s="174"/>
      <c r="B821" s="180"/>
      <c r="C821" s="183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184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  <c r="AR821" s="103"/>
      <c r="AS821" s="103"/>
      <c r="AT821" s="103"/>
      <c r="AU821" s="103"/>
      <c r="AV821" s="103"/>
      <c r="AW821" s="103"/>
      <c r="AX821" s="103"/>
      <c r="AY821" s="103"/>
      <c r="AZ821" s="103"/>
      <c r="BA821" s="103"/>
      <c r="BB821" s="103"/>
      <c r="BC821" s="103"/>
      <c r="BD821" s="103"/>
      <c r="BE821" s="103"/>
    </row>
    <row r="822" ht="15.75" customHeight="1">
      <c r="A822" s="174"/>
      <c r="B822" s="180"/>
      <c r="C822" s="183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184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  <c r="AR822" s="103"/>
      <c r="AS822" s="103"/>
      <c r="AT822" s="103"/>
      <c r="AU822" s="103"/>
      <c r="AV822" s="103"/>
      <c r="AW822" s="103"/>
      <c r="AX822" s="103"/>
      <c r="AY822" s="103"/>
      <c r="AZ822" s="103"/>
      <c r="BA822" s="103"/>
      <c r="BB822" s="103"/>
      <c r="BC822" s="103"/>
      <c r="BD822" s="103"/>
      <c r="BE822" s="103"/>
    </row>
    <row r="823" ht="15.75" customHeight="1">
      <c r="A823" s="174"/>
      <c r="B823" s="180"/>
      <c r="C823" s="183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184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  <c r="AR823" s="103"/>
      <c r="AS823" s="103"/>
      <c r="AT823" s="103"/>
      <c r="AU823" s="103"/>
      <c r="AV823" s="103"/>
      <c r="AW823" s="103"/>
      <c r="AX823" s="103"/>
      <c r="AY823" s="103"/>
      <c r="AZ823" s="103"/>
      <c r="BA823" s="103"/>
      <c r="BB823" s="103"/>
      <c r="BC823" s="103"/>
      <c r="BD823" s="103"/>
      <c r="BE823" s="103"/>
    </row>
    <row r="824" ht="15.75" customHeight="1">
      <c r="A824" s="174"/>
      <c r="B824" s="180"/>
      <c r="C824" s="183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184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  <c r="AR824" s="103"/>
      <c r="AS824" s="103"/>
      <c r="AT824" s="103"/>
      <c r="AU824" s="103"/>
      <c r="AV824" s="103"/>
      <c r="AW824" s="103"/>
      <c r="AX824" s="103"/>
      <c r="AY824" s="103"/>
      <c r="AZ824" s="103"/>
      <c r="BA824" s="103"/>
      <c r="BB824" s="103"/>
      <c r="BC824" s="103"/>
      <c r="BD824" s="103"/>
      <c r="BE824" s="103"/>
    </row>
    <row r="825" ht="15.75" customHeight="1">
      <c r="A825" s="174"/>
      <c r="B825" s="180"/>
      <c r="C825" s="183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184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  <c r="AR825" s="103"/>
      <c r="AS825" s="103"/>
      <c r="AT825" s="103"/>
      <c r="AU825" s="103"/>
      <c r="AV825" s="103"/>
      <c r="AW825" s="103"/>
      <c r="AX825" s="103"/>
      <c r="AY825" s="103"/>
      <c r="AZ825" s="103"/>
      <c r="BA825" s="103"/>
      <c r="BB825" s="103"/>
      <c r="BC825" s="103"/>
      <c r="BD825" s="103"/>
      <c r="BE825" s="103"/>
    </row>
    <row r="826" ht="15.75" customHeight="1">
      <c r="A826" s="174"/>
      <c r="B826" s="180"/>
      <c r="C826" s="183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184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  <c r="AR826" s="103"/>
      <c r="AS826" s="103"/>
      <c r="AT826" s="103"/>
      <c r="AU826" s="103"/>
      <c r="AV826" s="103"/>
      <c r="AW826" s="103"/>
      <c r="AX826" s="103"/>
      <c r="AY826" s="103"/>
      <c r="AZ826" s="103"/>
      <c r="BA826" s="103"/>
      <c r="BB826" s="103"/>
      <c r="BC826" s="103"/>
      <c r="BD826" s="103"/>
      <c r="BE826" s="103"/>
    </row>
    <row r="827" ht="15.75" customHeight="1">
      <c r="A827" s="174"/>
      <c r="B827" s="180"/>
      <c r="C827" s="183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184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  <c r="AR827" s="103"/>
      <c r="AS827" s="103"/>
      <c r="AT827" s="103"/>
      <c r="AU827" s="103"/>
      <c r="AV827" s="103"/>
      <c r="AW827" s="103"/>
      <c r="AX827" s="103"/>
      <c r="AY827" s="103"/>
      <c r="AZ827" s="103"/>
      <c r="BA827" s="103"/>
      <c r="BB827" s="103"/>
      <c r="BC827" s="103"/>
      <c r="BD827" s="103"/>
      <c r="BE827" s="103"/>
    </row>
    <row r="828" ht="15.75" customHeight="1">
      <c r="A828" s="174"/>
      <c r="B828" s="180"/>
      <c r="C828" s="183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184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  <c r="AR828" s="103"/>
      <c r="AS828" s="103"/>
      <c r="AT828" s="103"/>
      <c r="AU828" s="103"/>
      <c r="AV828" s="103"/>
      <c r="AW828" s="103"/>
      <c r="AX828" s="103"/>
      <c r="AY828" s="103"/>
      <c r="AZ828" s="103"/>
      <c r="BA828" s="103"/>
      <c r="BB828" s="103"/>
      <c r="BC828" s="103"/>
      <c r="BD828" s="103"/>
      <c r="BE828" s="103"/>
    </row>
    <row r="829" ht="15.75" customHeight="1">
      <c r="A829" s="174"/>
      <c r="B829" s="180"/>
      <c r="C829" s="183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184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  <c r="AR829" s="103"/>
      <c r="AS829" s="103"/>
      <c r="AT829" s="103"/>
      <c r="AU829" s="103"/>
      <c r="AV829" s="103"/>
      <c r="AW829" s="103"/>
      <c r="AX829" s="103"/>
      <c r="AY829" s="103"/>
      <c r="AZ829" s="103"/>
      <c r="BA829" s="103"/>
      <c r="BB829" s="103"/>
      <c r="BC829" s="103"/>
      <c r="BD829" s="103"/>
      <c r="BE829" s="103"/>
    </row>
    <row r="830" ht="15.75" customHeight="1">
      <c r="A830" s="174"/>
      <c r="B830" s="180"/>
      <c r="C830" s="183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184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  <c r="AR830" s="103"/>
      <c r="AS830" s="103"/>
      <c r="AT830" s="103"/>
      <c r="AU830" s="103"/>
      <c r="AV830" s="103"/>
      <c r="AW830" s="103"/>
      <c r="AX830" s="103"/>
      <c r="AY830" s="103"/>
      <c r="AZ830" s="103"/>
      <c r="BA830" s="103"/>
      <c r="BB830" s="103"/>
      <c r="BC830" s="103"/>
      <c r="BD830" s="103"/>
      <c r="BE830" s="103"/>
    </row>
    <row r="831" ht="15.75" customHeight="1">
      <c r="A831" s="174"/>
      <c r="B831" s="180"/>
      <c r="C831" s="183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184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  <c r="AR831" s="103"/>
      <c r="AS831" s="103"/>
      <c r="AT831" s="103"/>
      <c r="AU831" s="103"/>
      <c r="AV831" s="103"/>
      <c r="AW831" s="103"/>
      <c r="AX831" s="103"/>
      <c r="AY831" s="103"/>
      <c r="AZ831" s="103"/>
      <c r="BA831" s="103"/>
      <c r="BB831" s="103"/>
      <c r="BC831" s="103"/>
      <c r="BD831" s="103"/>
      <c r="BE831" s="103"/>
    </row>
    <row r="832" ht="15.75" customHeight="1">
      <c r="A832" s="174"/>
      <c r="B832" s="180"/>
      <c r="C832" s="183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184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  <c r="AR832" s="103"/>
      <c r="AS832" s="103"/>
      <c r="AT832" s="103"/>
      <c r="AU832" s="103"/>
      <c r="AV832" s="103"/>
      <c r="AW832" s="103"/>
      <c r="AX832" s="103"/>
      <c r="AY832" s="103"/>
      <c r="AZ832" s="103"/>
      <c r="BA832" s="103"/>
      <c r="BB832" s="103"/>
      <c r="BC832" s="103"/>
      <c r="BD832" s="103"/>
      <c r="BE832" s="103"/>
    </row>
    <row r="833" ht="15.75" customHeight="1">
      <c r="A833" s="174"/>
      <c r="B833" s="180"/>
      <c r="C833" s="183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184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  <c r="AR833" s="103"/>
      <c r="AS833" s="103"/>
      <c r="AT833" s="103"/>
      <c r="AU833" s="103"/>
      <c r="AV833" s="103"/>
      <c r="AW833" s="103"/>
      <c r="AX833" s="103"/>
      <c r="AY833" s="103"/>
      <c r="AZ833" s="103"/>
      <c r="BA833" s="103"/>
      <c r="BB833" s="103"/>
      <c r="BC833" s="103"/>
      <c r="BD833" s="103"/>
      <c r="BE833" s="103"/>
    </row>
    <row r="834" ht="15.75" customHeight="1">
      <c r="A834" s="174"/>
      <c r="B834" s="180"/>
      <c r="C834" s="183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184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  <c r="AR834" s="103"/>
      <c r="AS834" s="103"/>
      <c r="AT834" s="103"/>
      <c r="AU834" s="103"/>
      <c r="AV834" s="103"/>
      <c r="AW834" s="103"/>
      <c r="AX834" s="103"/>
      <c r="AY834" s="103"/>
      <c r="AZ834" s="103"/>
      <c r="BA834" s="103"/>
      <c r="BB834" s="103"/>
      <c r="BC834" s="103"/>
      <c r="BD834" s="103"/>
      <c r="BE834" s="103"/>
    </row>
    <row r="835" ht="15.75" customHeight="1">
      <c r="A835" s="174"/>
      <c r="B835" s="180"/>
      <c r="C835" s="183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184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  <c r="AR835" s="103"/>
      <c r="AS835" s="103"/>
      <c r="AT835" s="103"/>
      <c r="AU835" s="103"/>
      <c r="AV835" s="103"/>
      <c r="AW835" s="103"/>
      <c r="AX835" s="103"/>
      <c r="AY835" s="103"/>
      <c r="AZ835" s="103"/>
      <c r="BA835" s="103"/>
      <c r="BB835" s="103"/>
      <c r="BC835" s="103"/>
      <c r="BD835" s="103"/>
      <c r="BE835" s="103"/>
    </row>
    <row r="836" ht="15.75" customHeight="1">
      <c r="A836" s="174"/>
      <c r="B836" s="180"/>
      <c r="C836" s="183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184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  <c r="AR836" s="103"/>
      <c r="AS836" s="103"/>
      <c r="AT836" s="103"/>
      <c r="AU836" s="103"/>
      <c r="AV836" s="103"/>
      <c r="AW836" s="103"/>
      <c r="AX836" s="103"/>
      <c r="AY836" s="103"/>
      <c r="AZ836" s="103"/>
      <c r="BA836" s="103"/>
      <c r="BB836" s="103"/>
      <c r="BC836" s="103"/>
      <c r="BD836" s="103"/>
      <c r="BE836" s="103"/>
    </row>
    <row r="837" ht="15.75" customHeight="1">
      <c r="A837" s="174"/>
      <c r="B837" s="180"/>
      <c r="C837" s="183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184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  <c r="AR837" s="103"/>
      <c r="AS837" s="103"/>
      <c r="AT837" s="103"/>
      <c r="AU837" s="103"/>
      <c r="AV837" s="103"/>
      <c r="AW837" s="103"/>
      <c r="AX837" s="103"/>
      <c r="AY837" s="103"/>
      <c r="AZ837" s="103"/>
      <c r="BA837" s="103"/>
      <c r="BB837" s="103"/>
      <c r="BC837" s="103"/>
      <c r="BD837" s="103"/>
      <c r="BE837" s="103"/>
    </row>
    <row r="838" ht="15.75" customHeight="1">
      <c r="A838" s="174"/>
      <c r="B838" s="180"/>
      <c r="C838" s="183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184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  <c r="AR838" s="103"/>
      <c r="AS838" s="103"/>
      <c r="AT838" s="103"/>
      <c r="AU838" s="103"/>
      <c r="AV838" s="103"/>
      <c r="AW838" s="103"/>
      <c r="AX838" s="103"/>
      <c r="AY838" s="103"/>
      <c r="AZ838" s="103"/>
      <c r="BA838" s="103"/>
      <c r="BB838" s="103"/>
      <c r="BC838" s="103"/>
      <c r="BD838" s="103"/>
      <c r="BE838" s="103"/>
    </row>
    <row r="839" ht="15.75" customHeight="1">
      <c r="A839" s="174"/>
      <c r="B839" s="180"/>
      <c r="C839" s="183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184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  <c r="AR839" s="103"/>
      <c r="AS839" s="103"/>
      <c r="AT839" s="103"/>
      <c r="AU839" s="103"/>
      <c r="AV839" s="103"/>
      <c r="AW839" s="103"/>
      <c r="AX839" s="103"/>
      <c r="AY839" s="103"/>
      <c r="AZ839" s="103"/>
      <c r="BA839" s="103"/>
      <c r="BB839" s="103"/>
      <c r="BC839" s="103"/>
      <c r="BD839" s="103"/>
      <c r="BE839" s="103"/>
    </row>
    <row r="840" ht="15.75" customHeight="1">
      <c r="A840" s="174"/>
      <c r="B840" s="180"/>
      <c r="C840" s="183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184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  <c r="AR840" s="103"/>
      <c r="AS840" s="103"/>
      <c r="AT840" s="103"/>
      <c r="AU840" s="103"/>
      <c r="AV840" s="103"/>
      <c r="AW840" s="103"/>
      <c r="AX840" s="103"/>
      <c r="AY840" s="103"/>
      <c r="AZ840" s="103"/>
      <c r="BA840" s="103"/>
      <c r="BB840" s="103"/>
      <c r="BC840" s="103"/>
      <c r="BD840" s="103"/>
      <c r="BE840" s="103"/>
    </row>
    <row r="841" ht="15.75" customHeight="1">
      <c r="A841" s="174"/>
      <c r="B841" s="180"/>
      <c r="C841" s="183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184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  <c r="AR841" s="103"/>
      <c r="AS841" s="103"/>
      <c r="AT841" s="103"/>
      <c r="AU841" s="103"/>
      <c r="AV841" s="103"/>
      <c r="AW841" s="103"/>
      <c r="AX841" s="103"/>
      <c r="AY841" s="103"/>
      <c r="AZ841" s="103"/>
      <c r="BA841" s="103"/>
      <c r="BB841" s="103"/>
      <c r="BC841" s="103"/>
      <c r="BD841" s="103"/>
      <c r="BE841" s="103"/>
    </row>
    <row r="842" ht="15.75" customHeight="1">
      <c r="A842" s="174"/>
      <c r="B842" s="180"/>
      <c r="C842" s="183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184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  <c r="AR842" s="103"/>
      <c r="AS842" s="103"/>
      <c r="AT842" s="103"/>
      <c r="AU842" s="103"/>
      <c r="AV842" s="103"/>
      <c r="AW842" s="103"/>
      <c r="AX842" s="103"/>
      <c r="AY842" s="103"/>
      <c r="AZ842" s="103"/>
      <c r="BA842" s="103"/>
      <c r="BB842" s="103"/>
      <c r="BC842" s="103"/>
      <c r="BD842" s="103"/>
      <c r="BE842" s="103"/>
    </row>
    <row r="843" ht="15.75" customHeight="1">
      <c r="A843" s="174"/>
      <c r="B843" s="180"/>
      <c r="C843" s="183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184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  <c r="AR843" s="103"/>
      <c r="AS843" s="103"/>
      <c r="AT843" s="103"/>
      <c r="AU843" s="103"/>
      <c r="AV843" s="103"/>
      <c r="AW843" s="103"/>
      <c r="AX843" s="103"/>
      <c r="AY843" s="103"/>
      <c r="AZ843" s="103"/>
      <c r="BA843" s="103"/>
      <c r="BB843" s="103"/>
      <c r="BC843" s="103"/>
      <c r="BD843" s="103"/>
      <c r="BE843" s="103"/>
    </row>
    <row r="844" ht="15.75" customHeight="1">
      <c r="A844" s="174"/>
      <c r="B844" s="180"/>
      <c r="C844" s="183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184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  <c r="AR844" s="103"/>
      <c r="AS844" s="103"/>
      <c r="AT844" s="103"/>
      <c r="AU844" s="103"/>
      <c r="AV844" s="103"/>
      <c r="AW844" s="103"/>
      <c r="AX844" s="103"/>
      <c r="AY844" s="103"/>
      <c r="AZ844" s="103"/>
      <c r="BA844" s="103"/>
      <c r="BB844" s="103"/>
      <c r="BC844" s="103"/>
      <c r="BD844" s="103"/>
      <c r="BE844" s="103"/>
    </row>
    <row r="845" ht="15.75" customHeight="1">
      <c r="A845" s="174"/>
      <c r="B845" s="180"/>
      <c r="C845" s="183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184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  <c r="AR845" s="103"/>
      <c r="AS845" s="103"/>
      <c r="AT845" s="103"/>
      <c r="AU845" s="103"/>
      <c r="AV845" s="103"/>
      <c r="AW845" s="103"/>
      <c r="AX845" s="103"/>
      <c r="AY845" s="103"/>
      <c r="AZ845" s="103"/>
      <c r="BA845" s="103"/>
      <c r="BB845" s="103"/>
      <c r="BC845" s="103"/>
      <c r="BD845" s="103"/>
      <c r="BE845" s="103"/>
    </row>
    <row r="846" ht="15.75" customHeight="1">
      <c r="A846" s="174"/>
      <c r="B846" s="180"/>
      <c r="C846" s="183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184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  <c r="AR846" s="103"/>
      <c r="AS846" s="103"/>
      <c r="AT846" s="103"/>
      <c r="AU846" s="103"/>
      <c r="AV846" s="103"/>
      <c r="AW846" s="103"/>
      <c r="AX846" s="103"/>
      <c r="AY846" s="103"/>
      <c r="AZ846" s="103"/>
      <c r="BA846" s="103"/>
      <c r="BB846" s="103"/>
      <c r="BC846" s="103"/>
      <c r="BD846" s="103"/>
      <c r="BE846" s="103"/>
    </row>
    <row r="847" ht="15.75" customHeight="1">
      <c r="A847" s="174"/>
      <c r="B847" s="180"/>
      <c r="C847" s="183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184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  <c r="AR847" s="103"/>
      <c r="AS847" s="103"/>
      <c r="AT847" s="103"/>
      <c r="AU847" s="103"/>
      <c r="AV847" s="103"/>
      <c r="AW847" s="103"/>
      <c r="AX847" s="103"/>
      <c r="AY847" s="103"/>
      <c r="AZ847" s="103"/>
      <c r="BA847" s="103"/>
      <c r="BB847" s="103"/>
      <c r="BC847" s="103"/>
      <c r="BD847" s="103"/>
      <c r="BE847" s="103"/>
    </row>
    <row r="848" ht="15.75" customHeight="1">
      <c r="A848" s="174"/>
      <c r="B848" s="180"/>
      <c r="C848" s="183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184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  <c r="AR848" s="103"/>
      <c r="AS848" s="103"/>
      <c r="AT848" s="103"/>
      <c r="AU848" s="103"/>
      <c r="AV848" s="103"/>
      <c r="AW848" s="103"/>
      <c r="AX848" s="103"/>
      <c r="AY848" s="103"/>
      <c r="AZ848" s="103"/>
      <c r="BA848" s="103"/>
      <c r="BB848" s="103"/>
      <c r="BC848" s="103"/>
      <c r="BD848" s="103"/>
      <c r="BE848" s="103"/>
    </row>
    <row r="849" ht="15.75" customHeight="1">
      <c r="A849" s="174"/>
      <c r="B849" s="180"/>
      <c r="C849" s="183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184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  <c r="AR849" s="103"/>
      <c r="AS849" s="103"/>
      <c r="AT849" s="103"/>
      <c r="AU849" s="103"/>
      <c r="AV849" s="103"/>
      <c r="AW849" s="103"/>
      <c r="AX849" s="103"/>
      <c r="AY849" s="103"/>
      <c r="AZ849" s="103"/>
      <c r="BA849" s="103"/>
      <c r="BB849" s="103"/>
      <c r="BC849" s="103"/>
      <c r="BD849" s="103"/>
      <c r="BE849" s="103"/>
    </row>
    <row r="850" ht="15.75" customHeight="1">
      <c r="A850" s="174"/>
      <c r="B850" s="180"/>
      <c r="C850" s="183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184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  <c r="AR850" s="103"/>
      <c r="AS850" s="103"/>
      <c r="AT850" s="103"/>
      <c r="AU850" s="103"/>
      <c r="AV850" s="103"/>
      <c r="AW850" s="103"/>
      <c r="AX850" s="103"/>
      <c r="AY850" s="103"/>
      <c r="AZ850" s="103"/>
      <c r="BA850" s="103"/>
      <c r="BB850" s="103"/>
      <c r="BC850" s="103"/>
      <c r="BD850" s="103"/>
      <c r="BE850" s="103"/>
    </row>
    <row r="851" ht="15.75" customHeight="1">
      <c r="A851" s="174"/>
      <c r="B851" s="180"/>
      <c r="C851" s="183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184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  <c r="AR851" s="103"/>
      <c r="AS851" s="103"/>
      <c r="AT851" s="103"/>
      <c r="AU851" s="103"/>
      <c r="AV851" s="103"/>
      <c r="AW851" s="103"/>
      <c r="AX851" s="103"/>
      <c r="AY851" s="103"/>
      <c r="AZ851" s="103"/>
      <c r="BA851" s="103"/>
      <c r="BB851" s="103"/>
      <c r="BC851" s="103"/>
      <c r="BD851" s="103"/>
      <c r="BE851" s="103"/>
    </row>
    <row r="852" ht="15.75" customHeight="1">
      <c r="A852" s="174"/>
      <c r="B852" s="180"/>
      <c r="C852" s="183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184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  <c r="AR852" s="103"/>
      <c r="AS852" s="103"/>
      <c r="AT852" s="103"/>
      <c r="AU852" s="103"/>
      <c r="AV852" s="103"/>
      <c r="AW852" s="103"/>
      <c r="AX852" s="103"/>
      <c r="AY852" s="103"/>
      <c r="AZ852" s="103"/>
      <c r="BA852" s="103"/>
      <c r="BB852" s="103"/>
      <c r="BC852" s="103"/>
      <c r="BD852" s="103"/>
      <c r="BE852" s="103"/>
    </row>
    <row r="853" ht="15.75" customHeight="1">
      <c r="A853" s="174"/>
      <c r="B853" s="180"/>
      <c r="C853" s="183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184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  <c r="AR853" s="103"/>
      <c r="AS853" s="103"/>
      <c r="AT853" s="103"/>
      <c r="AU853" s="103"/>
      <c r="AV853" s="103"/>
      <c r="AW853" s="103"/>
      <c r="AX853" s="103"/>
      <c r="AY853" s="103"/>
      <c r="AZ853" s="103"/>
      <c r="BA853" s="103"/>
      <c r="BB853" s="103"/>
      <c r="BC853" s="103"/>
      <c r="BD853" s="103"/>
      <c r="BE853" s="103"/>
    </row>
    <row r="854" ht="15.75" customHeight="1">
      <c r="A854" s="174"/>
      <c r="B854" s="180"/>
      <c r="C854" s="183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184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  <c r="AR854" s="103"/>
      <c r="AS854" s="103"/>
      <c r="AT854" s="103"/>
      <c r="AU854" s="103"/>
      <c r="AV854" s="103"/>
      <c r="AW854" s="103"/>
      <c r="AX854" s="103"/>
      <c r="AY854" s="103"/>
      <c r="AZ854" s="103"/>
      <c r="BA854" s="103"/>
      <c r="BB854" s="103"/>
      <c r="BC854" s="103"/>
      <c r="BD854" s="103"/>
      <c r="BE854" s="103"/>
    </row>
    <row r="855" ht="15.75" customHeight="1">
      <c r="A855" s="174"/>
      <c r="B855" s="180"/>
      <c r="C855" s="183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184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  <c r="AR855" s="103"/>
      <c r="AS855" s="103"/>
      <c r="AT855" s="103"/>
      <c r="AU855" s="103"/>
      <c r="AV855" s="103"/>
      <c r="AW855" s="103"/>
      <c r="AX855" s="103"/>
      <c r="AY855" s="103"/>
      <c r="AZ855" s="103"/>
      <c r="BA855" s="103"/>
      <c r="BB855" s="103"/>
      <c r="BC855" s="103"/>
      <c r="BD855" s="103"/>
      <c r="BE855" s="103"/>
    </row>
    <row r="856" ht="15.75" customHeight="1">
      <c r="A856" s="174"/>
      <c r="B856" s="180"/>
      <c r="C856" s="183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184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  <c r="AR856" s="103"/>
      <c r="AS856" s="103"/>
      <c r="AT856" s="103"/>
      <c r="AU856" s="103"/>
      <c r="AV856" s="103"/>
      <c r="AW856" s="103"/>
      <c r="AX856" s="103"/>
      <c r="AY856" s="103"/>
      <c r="AZ856" s="103"/>
      <c r="BA856" s="103"/>
      <c r="BB856" s="103"/>
      <c r="BC856" s="103"/>
      <c r="BD856" s="103"/>
      <c r="BE856" s="103"/>
    </row>
    <row r="857" ht="15.75" customHeight="1">
      <c r="A857" s="174"/>
      <c r="B857" s="180"/>
      <c r="C857" s="183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184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  <c r="AR857" s="103"/>
      <c r="AS857" s="103"/>
      <c r="AT857" s="103"/>
      <c r="AU857" s="103"/>
      <c r="AV857" s="103"/>
      <c r="AW857" s="103"/>
      <c r="AX857" s="103"/>
      <c r="AY857" s="103"/>
      <c r="AZ857" s="103"/>
      <c r="BA857" s="103"/>
      <c r="BB857" s="103"/>
      <c r="BC857" s="103"/>
      <c r="BD857" s="103"/>
      <c r="BE857" s="103"/>
    </row>
    <row r="858" ht="15.75" customHeight="1">
      <c r="A858" s="174"/>
      <c r="B858" s="180"/>
      <c r="C858" s="183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184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  <c r="AR858" s="103"/>
      <c r="AS858" s="103"/>
      <c r="AT858" s="103"/>
      <c r="AU858" s="103"/>
      <c r="AV858" s="103"/>
      <c r="AW858" s="103"/>
      <c r="AX858" s="103"/>
      <c r="AY858" s="103"/>
      <c r="AZ858" s="103"/>
      <c r="BA858" s="103"/>
      <c r="BB858" s="103"/>
      <c r="BC858" s="103"/>
      <c r="BD858" s="103"/>
      <c r="BE858" s="103"/>
    </row>
    <row r="859" ht="15.75" customHeight="1">
      <c r="A859" s="174"/>
      <c r="B859" s="180"/>
      <c r="C859" s="183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184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  <c r="AR859" s="103"/>
      <c r="AS859" s="103"/>
      <c r="AT859" s="103"/>
      <c r="AU859" s="103"/>
      <c r="AV859" s="103"/>
      <c r="AW859" s="103"/>
      <c r="AX859" s="103"/>
      <c r="AY859" s="103"/>
      <c r="AZ859" s="103"/>
      <c r="BA859" s="103"/>
      <c r="BB859" s="103"/>
      <c r="BC859" s="103"/>
      <c r="BD859" s="103"/>
      <c r="BE859" s="103"/>
    </row>
    <row r="860" ht="15.75" customHeight="1">
      <c r="A860" s="174"/>
      <c r="B860" s="180"/>
      <c r="C860" s="183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184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  <c r="AR860" s="103"/>
      <c r="AS860" s="103"/>
      <c r="AT860" s="103"/>
      <c r="AU860" s="103"/>
      <c r="AV860" s="103"/>
      <c r="AW860" s="103"/>
      <c r="AX860" s="103"/>
      <c r="AY860" s="103"/>
      <c r="AZ860" s="103"/>
      <c r="BA860" s="103"/>
      <c r="BB860" s="103"/>
      <c r="BC860" s="103"/>
      <c r="BD860" s="103"/>
      <c r="BE860" s="103"/>
    </row>
    <row r="861" ht="15.75" customHeight="1">
      <c r="A861" s="174"/>
      <c r="B861" s="180"/>
      <c r="C861" s="183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184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  <c r="AR861" s="103"/>
      <c r="AS861" s="103"/>
      <c r="AT861" s="103"/>
      <c r="AU861" s="103"/>
      <c r="AV861" s="103"/>
      <c r="AW861" s="103"/>
      <c r="AX861" s="103"/>
      <c r="AY861" s="103"/>
      <c r="AZ861" s="103"/>
      <c r="BA861" s="103"/>
      <c r="BB861" s="103"/>
      <c r="BC861" s="103"/>
      <c r="BD861" s="103"/>
      <c r="BE861" s="103"/>
    </row>
    <row r="862" ht="15.75" customHeight="1">
      <c r="A862" s="174"/>
      <c r="B862" s="180"/>
      <c r="C862" s="183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184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  <c r="AR862" s="103"/>
      <c r="AS862" s="103"/>
      <c r="AT862" s="103"/>
      <c r="AU862" s="103"/>
      <c r="AV862" s="103"/>
      <c r="AW862" s="103"/>
      <c r="AX862" s="103"/>
      <c r="AY862" s="103"/>
      <c r="AZ862" s="103"/>
      <c r="BA862" s="103"/>
      <c r="BB862" s="103"/>
      <c r="BC862" s="103"/>
      <c r="BD862" s="103"/>
      <c r="BE862" s="103"/>
    </row>
    <row r="863" ht="15.75" customHeight="1">
      <c r="A863" s="174"/>
      <c r="B863" s="180"/>
      <c r="C863" s="183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184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  <c r="AR863" s="103"/>
      <c r="AS863" s="103"/>
      <c r="AT863" s="103"/>
      <c r="AU863" s="103"/>
      <c r="AV863" s="103"/>
      <c r="AW863" s="103"/>
      <c r="AX863" s="103"/>
      <c r="AY863" s="103"/>
      <c r="AZ863" s="103"/>
      <c r="BA863" s="103"/>
      <c r="BB863" s="103"/>
      <c r="BC863" s="103"/>
      <c r="BD863" s="103"/>
      <c r="BE863" s="103"/>
    </row>
    <row r="864" ht="15.75" customHeight="1">
      <c r="A864" s="174"/>
      <c r="B864" s="180"/>
      <c r="C864" s="183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184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  <c r="AR864" s="103"/>
      <c r="AS864" s="103"/>
      <c r="AT864" s="103"/>
      <c r="AU864" s="103"/>
      <c r="AV864" s="103"/>
      <c r="AW864" s="103"/>
      <c r="AX864" s="103"/>
      <c r="AY864" s="103"/>
      <c r="AZ864" s="103"/>
      <c r="BA864" s="103"/>
      <c r="BB864" s="103"/>
      <c r="BC864" s="103"/>
      <c r="BD864" s="103"/>
      <c r="BE864" s="103"/>
    </row>
    <row r="865" ht="15.75" customHeight="1">
      <c r="A865" s="174"/>
      <c r="B865" s="180"/>
      <c r="C865" s="183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184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  <c r="AR865" s="103"/>
      <c r="AS865" s="103"/>
      <c r="AT865" s="103"/>
      <c r="AU865" s="103"/>
      <c r="AV865" s="103"/>
      <c r="AW865" s="103"/>
      <c r="AX865" s="103"/>
      <c r="AY865" s="103"/>
      <c r="AZ865" s="103"/>
      <c r="BA865" s="103"/>
      <c r="BB865" s="103"/>
      <c r="BC865" s="103"/>
      <c r="BD865" s="103"/>
      <c r="BE865" s="103"/>
    </row>
    <row r="866" ht="15.75" customHeight="1">
      <c r="A866" s="174"/>
      <c r="B866" s="180"/>
      <c r="C866" s="183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184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  <c r="AR866" s="103"/>
      <c r="AS866" s="103"/>
      <c r="AT866" s="103"/>
      <c r="AU866" s="103"/>
      <c r="AV866" s="103"/>
      <c r="AW866" s="103"/>
      <c r="AX866" s="103"/>
      <c r="AY866" s="103"/>
      <c r="AZ866" s="103"/>
      <c r="BA866" s="103"/>
      <c r="BB866" s="103"/>
      <c r="BC866" s="103"/>
      <c r="BD866" s="103"/>
      <c r="BE866" s="103"/>
    </row>
    <row r="867" ht="15.75" customHeight="1">
      <c r="A867" s="174"/>
      <c r="B867" s="180"/>
      <c r="C867" s="183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184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  <c r="AR867" s="103"/>
      <c r="AS867" s="103"/>
      <c r="AT867" s="103"/>
      <c r="AU867" s="103"/>
      <c r="AV867" s="103"/>
      <c r="AW867" s="103"/>
      <c r="AX867" s="103"/>
      <c r="AY867" s="103"/>
      <c r="AZ867" s="103"/>
      <c r="BA867" s="103"/>
      <c r="BB867" s="103"/>
      <c r="BC867" s="103"/>
      <c r="BD867" s="103"/>
      <c r="BE867" s="103"/>
    </row>
    <row r="868" ht="15.75" customHeight="1">
      <c r="A868" s="174"/>
      <c r="B868" s="180"/>
      <c r="C868" s="183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184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  <c r="AR868" s="103"/>
      <c r="AS868" s="103"/>
      <c r="AT868" s="103"/>
      <c r="AU868" s="103"/>
      <c r="AV868" s="103"/>
      <c r="AW868" s="103"/>
      <c r="AX868" s="103"/>
      <c r="AY868" s="103"/>
      <c r="AZ868" s="103"/>
      <c r="BA868" s="103"/>
      <c r="BB868" s="103"/>
      <c r="BC868" s="103"/>
      <c r="BD868" s="103"/>
      <c r="BE868" s="103"/>
    </row>
    <row r="869" ht="15.75" customHeight="1">
      <c r="A869" s="174"/>
      <c r="B869" s="180"/>
      <c r="C869" s="183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184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  <c r="AR869" s="103"/>
      <c r="AS869" s="103"/>
      <c r="AT869" s="103"/>
      <c r="AU869" s="103"/>
      <c r="AV869" s="103"/>
      <c r="AW869" s="103"/>
      <c r="AX869" s="103"/>
      <c r="AY869" s="103"/>
      <c r="AZ869" s="103"/>
      <c r="BA869" s="103"/>
      <c r="BB869" s="103"/>
      <c r="BC869" s="103"/>
      <c r="BD869" s="103"/>
      <c r="BE869" s="103"/>
    </row>
    <row r="870" ht="15.75" customHeight="1">
      <c r="A870" s="174"/>
      <c r="B870" s="180"/>
      <c r="C870" s="183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184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  <c r="AR870" s="103"/>
      <c r="AS870" s="103"/>
      <c r="AT870" s="103"/>
      <c r="AU870" s="103"/>
      <c r="AV870" s="103"/>
      <c r="AW870" s="103"/>
      <c r="AX870" s="103"/>
      <c r="AY870" s="103"/>
      <c r="AZ870" s="103"/>
      <c r="BA870" s="103"/>
      <c r="BB870" s="103"/>
      <c r="BC870" s="103"/>
      <c r="BD870" s="103"/>
      <c r="BE870" s="103"/>
    </row>
    <row r="871" ht="15.75" customHeight="1">
      <c r="A871" s="174"/>
      <c r="B871" s="180"/>
      <c r="C871" s="183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184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  <c r="AR871" s="103"/>
      <c r="AS871" s="103"/>
      <c r="AT871" s="103"/>
      <c r="AU871" s="103"/>
      <c r="AV871" s="103"/>
      <c r="AW871" s="103"/>
      <c r="AX871" s="103"/>
      <c r="AY871" s="103"/>
      <c r="AZ871" s="103"/>
      <c r="BA871" s="103"/>
      <c r="BB871" s="103"/>
      <c r="BC871" s="103"/>
      <c r="BD871" s="103"/>
      <c r="BE871" s="103"/>
    </row>
    <row r="872" ht="15.75" customHeight="1">
      <c r="A872" s="174"/>
      <c r="B872" s="180"/>
      <c r="C872" s="183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184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  <c r="AR872" s="103"/>
      <c r="AS872" s="103"/>
      <c r="AT872" s="103"/>
      <c r="AU872" s="103"/>
      <c r="AV872" s="103"/>
      <c r="AW872" s="103"/>
      <c r="AX872" s="103"/>
      <c r="AY872" s="103"/>
      <c r="AZ872" s="103"/>
      <c r="BA872" s="103"/>
      <c r="BB872" s="103"/>
      <c r="BC872" s="103"/>
      <c r="BD872" s="103"/>
      <c r="BE872" s="103"/>
    </row>
    <row r="873" ht="15.75" customHeight="1">
      <c r="A873" s="174"/>
      <c r="B873" s="180"/>
      <c r="C873" s="183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184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  <c r="AR873" s="103"/>
      <c r="AS873" s="103"/>
      <c r="AT873" s="103"/>
      <c r="AU873" s="103"/>
      <c r="AV873" s="103"/>
      <c r="AW873" s="103"/>
      <c r="AX873" s="103"/>
      <c r="AY873" s="103"/>
      <c r="AZ873" s="103"/>
      <c r="BA873" s="103"/>
      <c r="BB873" s="103"/>
      <c r="BC873" s="103"/>
      <c r="BD873" s="103"/>
      <c r="BE873" s="103"/>
    </row>
    <row r="874" ht="15.75" customHeight="1">
      <c r="A874" s="174"/>
      <c r="B874" s="180"/>
      <c r="C874" s="183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184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  <c r="AR874" s="103"/>
      <c r="AS874" s="103"/>
      <c r="AT874" s="103"/>
      <c r="AU874" s="103"/>
      <c r="AV874" s="103"/>
      <c r="AW874" s="103"/>
      <c r="AX874" s="103"/>
      <c r="AY874" s="103"/>
      <c r="AZ874" s="103"/>
      <c r="BA874" s="103"/>
      <c r="BB874" s="103"/>
      <c r="BC874" s="103"/>
      <c r="BD874" s="103"/>
      <c r="BE874" s="103"/>
    </row>
    <row r="875" ht="15.75" customHeight="1">
      <c r="A875" s="174"/>
      <c r="B875" s="180"/>
      <c r="C875" s="183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184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  <c r="AR875" s="103"/>
      <c r="AS875" s="103"/>
      <c r="AT875" s="103"/>
      <c r="AU875" s="103"/>
      <c r="AV875" s="103"/>
      <c r="AW875" s="103"/>
      <c r="AX875" s="103"/>
      <c r="AY875" s="103"/>
      <c r="AZ875" s="103"/>
      <c r="BA875" s="103"/>
      <c r="BB875" s="103"/>
      <c r="BC875" s="103"/>
      <c r="BD875" s="103"/>
      <c r="BE875" s="103"/>
    </row>
    <row r="876" ht="15.75" customHeight="1">
      <c r="A876" s="174"/>
      <c r="B876" s="180"/>
      <c r="C876" s="183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184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  <c r="AR876" s="103"/>
      <c r="AS876" s="103"/>
      <c r="AT876" s="103"/>
      <c r="AU876" s="103"/>
      <c r="AV876" s="103"/>
      <c r="AW876" s="103"/>
      <c r="AX876" s="103"/>
      <c r="AY876" s="103"/>
      <c r="AZ876" s="103"/>
      <c r="BA876" s="103"/>
      <c r="BB876" s="103"/>
      <c r="BC876" s="103"/>
      <c r="BD876" s="103"/>
      <c r="BE876" s="103"/>
    </row>
    <row r="877" ht="15.75" customHeight="1">
      <c r="A877" s="174"/>
      <c r="B877" s="180"/>
      <c r="C877" s="183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184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  <c r="AR877" s="103"/>
      <c r="AS877" s="103"/>
      <c r="AT877" s="103"/>
      <c r="AU877" s="103"/>
      <c r="AV877" s="103"/>
      <c r="AW877" s="103"/>
      <c r="AX877" s="103"/>
      <c r="AY877" s="103"/>
      <c r="AZ877" s="103"/>
      <c r="BA877" s="103"/>
      <c r="BB877" s="103"/>
      <c r="BC877" s="103"/>
      <c r="BD877" s="103"/>
      <c r="BE877" s="103"/>
    </row>
    <row r="878" ht="15.75" customHeight="1">
      <c r="A878" s="174"/>
      <c r="B878" s="180"/>
      <c r="C878" s="183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184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  <c r="AR878" s="103"/>
      <c r="AS878" s="103"/>
      <c r="AT878" s="103"/>
      <c r="AU878" s="103"/>
      <c r="AV878" s="103"/>
      <c r="AW878" s="103"/>
      <c r="AX878" s="103"/>
      <c r="AY878" s="103"/>
      <c r="AZ878" s="103"/>
      <c r="BA878" s="103"/>
      <c r="BB878" s="103"/>
      <c r="BC878" s="103"/>
      <c r="BD878" s="103"/>
      <c r="BE878" s="103"/>
    </row>
    <row r="879" ht="15.75" customHeight="1">
      <c r="A879" s="174"/>
      <c r="B879" s="180"/>
      <c r="C879" s="183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184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  <c r="AR879" s="103"/>
      <c r="AS879" s="103"/>
      <c r="AT879" s="103"/>
      <c r="AU879" s="103"/>
      <c r="AV879" s="103"/>
      <c r="AW879" s="103"/>
      <c r="AX879" s="103"/>
      <c r="AY879" s="103"/>
      <c r="AZ879" s="103"/>
      <c r="BA879" s="103"/>
      <c r="BB879" s="103"/>
      <c r="BC879" s="103"/>
      <c r="BD879" s="103"/>
      <c r="BE879" s="103"/>
    </row>
    <row r="880" ht="15.75" customHeight="1">
      <c r="A880" s="174"/>
      <c r="B880" s="180"/>
      <c r="C880" s="183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184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  <c r="AR880" s="103"/>
      <c r="AS880" s="103"/>
      <c r="AT880" s="103"/>
      <c r="AU880" s="103"/>
      <c r="AV880" s="103"/>
      <c r="AW880" s="103"/>
      <c r="AX880" s="103"/>
      <c r="AY880" s="103"/>
      <c r="AZ880" s="103"/>
      <c r="BA880" s="103"/>
      <c r="BB880" s="103"/>
      <c r="BC880" s="103"/>
      <c r="BD880" s="103"/>
      <c r="BE880" s="103"/>
    </row>
    <row r="881" ht="15.75" customHeight="1">
      <c r="A881" s="174"/>
      <c r="B881" s="180"/>
      <c r="C881" s="183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184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  <c r="AR881" s="103"/>
      <c r="AS881" s="103"/>
      <c r="AT881" s="103"/>
      <c r="AU881" s="103"/>
      <c r="AV881" s="103"/>
      <c r="AW881" s="103"/>
      <c r="AX881" s="103"/>
      <c r="AY881" s="103"/>
      <c r="AZ881" s="103"/>
      <c r="BA881" s="103"/>
      <c r="BB881" s="103"/>
      <c r="BC881" s="103"/>
      <c r="BD881" s="103"/>
      <c r="BE881" s="103"/>
    </row>
    <row r="882" ht="15.75" customHeight="1">
      <c r="A882" s="174"/>
      <c r="B882" s="180"/>
      <c r="C882" s="183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184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  <c r="AR882" s="103"/>
      <c r="AS882" s="103"/>
      <c r="AT882" s="103"/>
      <c r="AU882" s="103"/>
      <c r="AV882" s="103"/>
      <c r="AW882" s="103"/>
      <c r="AX882" s="103"/>
      <c r="AY882" s="103"/>
      <c r="AZ882" s="103"/>
      <c r="BA882" s="103"/>
      <c r="BB882" s="103"/>
      <c r="BC882" s="103"/>
      <c r="BD882" s="103"/>
      <c r="BE882" s="103"/>
    </row>
    <row r="883" ht="15.75" customHeight="1">
      <c r="A883" s="174"/>
      <c r="B883" s="180"/>
      <c r="C883" s="183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184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  <c r="AR883" s="103"/>
      <c r="AS883" s="103"/>
      <c r="AT883" s="103"/>
      <c r="AU883" s="103"/>
      <c r="AV883" s="103"/>
      <c r="AW883" s="103"/>
      <c r="AX883" s="103"/>
      <c r="AY883" s="103"/>
      <c r="AZ883" s="103"/>
      <c r="BA883" s="103"/>
      <c r="BB883" s="103"/>
      <c r="BC883" s="103"/>
      <c r="BD883" s="103"/>
      <c r="BE883" s="103"/>
    </row>
    <row r="884" ht="15.75" customHeight="1">
      <c r="A884" s="174"/>
      <c r="B884" s="180"/>
      <c r="C884" s="183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184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  <c r="AR884" s="103"/>
      <c r="AS884" s="103"/>
      <c r="AT884" s="103"/>
      <c r="AU884" s="103"/>
      <c r="AV884" s="103"/>
      <c r="AW884" s="103"/>
      <c r="AX884" s="103"/>
      <c r="AY884" s="103"/>
      <c r="AZ884" s="103"/>
      <c r="BA884" s="103"/>
      <c r="BB884" s="103"/>
      <c r="BC884" s="103"/>
      <c r="BD884" s="103"/>
      <c r="BE884" s="103"/>
    </row>
    <row r="885" ht="15.75" customHeight="1">
      <c r="A885" s="174"/>
      <c r="B885" s="180"/>
      <c r="C885" s="183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184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  <c r="AR885" s="103"/>
      <c r="AS885" s="103"/>
      <c r="AT885" s="103"/>
      <c r="AU885" s="103"/>
      <c r="AV885" s="103"/>
      <c r="AW885" s="103"/>
      <c r="AX885" s="103"/>
      <c r="AY885" s="103"/>
      <c r="AZ885" s="103"/>
      <c r="BA885" s="103"/>
      <c r="BB885" s="103"/>
      <c r="BC885" s="103"/>
      <c r="BD885" s="103"/>
      <c r="BE885" s="103"/>
    </row>
    <row r="886" ht="15.75" customHeight="1">
      <c r="A886" s="174"/>
      <c r="B886" s="180"/>
      <c r="C886" s="183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184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  <c r="AR886" s="103"/>
      <c r="AS886" s="103"/>
      <c r="AT886" s="103"/>
      <c r="AU886" s="103"/>
      <c r="AV886" s="103"/>
      <c r="AW886" s="103"/>
      <c r="AX886" s="103"/>
      <c r="AY886" s="103"/>
      <c r="AZ886" s="103"/>
      <c r="BA886" s="103"/>
      <c r="BB886" s="103"/>
      <c r="BC886" s="103"/>
      <c r="BD886" s="103"/>
      <c r="BE886" s="103"/>
    </row>
    <row r="887" ht="15.75" customHeight="1">
      <c r="A887" s="174"/>
      <c r="B887" s="180"/>
      <c r="C887" s="183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184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  <c r="AR887" s="103"/>
      <c r="AS887" s="103"/>
      <c r="AT887" s="103"/>
      <c r="AU887" s="103"/>
      <c r="AV887" s="103"/>
      <c r="AW887" s="103"/>
      <c r="AX887" s="103"/>
      <c r="AY887" s="103"/>
      <c r="AZ887" s="103"/>
      <c r="BA887" s="103"/>
      <c r="BB887" s="103"/>
      <c r="BC887" s="103"/>
      <c r="BD887" s="103"/>
      <c r="BE887" s="103"/>
    </row>
    <row r="888" ht="15.75" customHeight="1">
      <c r="A888" s="174"/>
      <c r="B888" s="180"/>
      <c r="C888" s="183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184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  <c r="AR888" s="103"/>
      <c r="AS888" s="103"/>
      <c r="AT888" s="103"/>
      <c r="AU888" s="103"/>
      <c r="AV888" s="103"/>
      <c r="AW888" s="103"/>
      <c r="AX888" s="103"/>
      <c r="AY888" s="103"/>
      <c r="AZ888" s="103"/>
      <c r="BA888" s="103"/>
      <c r="BB888" s="103"/>
      <c r="BC888" s="103"/>
      <c r="BD888" s="103"/>
      <c r="BE888" s="103"/>
    </row>
    <row r="889" ht="15.75" customHeight="1">
      <c r="A889" s="174"/>
      <c r="B889" s="180"/>
      <c r="C889" s="183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184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  <c r="AR889" s="103"/>
      <c r="AS889" s="103"/>
      <c r="AT889" s="103"/>
      <c r="AU889" s="103"/>
      <c r="AV889" s="103"/>
      <c r="AW889" s="103"/>
      <c r="AX889" s="103"/>
      <c r="AY889" s="103"/>
      <c r="AZ889" s="103"/>
      <c r="BA889" s="103"/>
      <c r="BB889" s="103"/>
      <c r="BC889" s="103"/>
      <c r="BD889" s="103"/>
      <c r="BE889" s="103"/>
    </row>
    <row r="890" ht="15.75" customHeight="1">
      <c r="A890" s="174"/>
      <c r="B890" s="180"/>
      <c r="C890" s="183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184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  <c r="AR890" s="103"/>
      <c r="AS890" s="103"/>
      <c r="AT890" s="103"/>
      <c r="AU890" s="103"/>
      <c r="AV890" s="103"/>
      <c r="AW890" s="103"/>
      <c r="AX890" s="103"/>
      <c r="AY890" s="103"/>
      <c r="AZ890" s="103"/>
      <c r="BA890" s="103"/>
      <c r="BB890" s="103"/>
      <c r="BC890" s="103"/>
      <c r="BD890" s="103"/>
      <c r="BE890" s="103"/>
    </row>
    <row r="891" ht="15.75" customHeight="1">
      <c r="A891" s="174"/>
      <c r="B891" s="180"/>
      <c r="C891" s="183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184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  <c r="AR891" s="103"/>
      <c r="AS891" s="103"/>
      <c r="AT891" s="103"/>
      <c r="AU891" s="103"/>
      <c r="AV891" s="103"/>
      <c r="AW891" s="103"/>
      <c r="AX891" s="103"/>
      <c r="AY891" s="103"/>
      <c r="AZ891" s="103"/>
      <c r="BA891" s="103"/>
      <c r="BB891" s="103"/>
      <c r="BC891" s="103"/>
      <c r="BD891" s="103"/>
      <c r="BE891" s="103"/>
    </row>
    <row r="892" ht="15.75" customHeight="1">
      <c r="A892" s="174"/>
      <c r="B892" s="180"/>
      <c r="C892" s="183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184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  <c r="AR892" s="103"/>
      <c r="AS892" s="103"/>
      <c r="AT892" s="103"/>
      <c r="AU892" s="103"/>
      <c r="AV892" s="103"/>
      <c r="AW892" s="103"/>
      <c r="AX892" s="103"/>
      <c r="AY892" s="103"/>
      <c r="AZ892" s="103"/>
      <c r="BA892" s="103"/>
      <c r="BB892" s="103"/>
      <c r="BC892" s="103"/>
      <c r="BD892" s="103"/>
      <c r="BE892" s="103"/>
    </row>
    <row r="893" ht="15.75" customHeight="1">
      <c r="A893" s="174"/>
      <c r="B893" s="180"/>
      <c r="C893" s="183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184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  <c r="AR893" s="103"/>
      <c r="AS893" s="103"/>
      <c r="AT893" s="103"/>
      <c r="AU893" s="103"/>
      <c r="AV893" s="103"/>
      <c r="AW893" s="103"/>
      <c r="AX893" s="103"/>
      <c r="AY893" s="103"/>
      <c r="AZ893" s="103"/>
      <c r="BA893" s="103"/>
      <c r="BB893" s="103"/>
      <c r="BC893" s="103"/>
      <c r="BD893" s="103"/>
      <c r="BE893" s="103"/>
    </row>
    <row r="894" ht="15.75" customHeight="1">
      <c r="A894" s="174"/>
      <c r="B894" s="180"/>
      <c r="C894" s="183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184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  <c r="AR894" s="103"/>
      <c r="AS894" s="103"/>
      <c r="AT894" s="103"/>
      <c r="AU894" s="103"/>
      <c r="AV894" s="103"/>
      <c r="AW894" s="103"/>
      <c r="AX894" s="103"/>
      <c r="AY894" s="103"/>
      <c r="AZ894" s="103"/>
      <c r="BA894" s="103"/>
      <c r="BB894" s="103"/>
      <c r="BC894" s="103"/>
      <c r="BD894" s="103"/>
      <c r="BE894" s="103"/>
    </row>
    <row r="895" ht="15.75" customHeight="1">
      <c r="A895" s="174"/>
      <c r="B895" s="180"/>
      <c r="C895" s="183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184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  <c r="AR895" s="103"/>
      <c r="AS895" s="103"/>
      <c r="AT895" s="103"/>
      <c r="AU895" s="103"/>
      <c r="AV895" s="103"/>
      <c r="AW895" s="103"/>
      <c r="AX895" s="103"/>
      <c r="AY895" s="103"/>
      <c r="AZ895" s="103"/>
      <c r="BA895" s="103"/>
      <c r="BB895" s="103"/>
      <c r="BC895" s="103"/>
      <c r="BD895" s="103"/>
      <c r="BE895" s="103"/>
    </row>
    <row r="896" ht="15.75" customHeight="1">
      <c r="A896" s="174"/>
      <c r="B896" s="180"/>
      <c r="C896" s="183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184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  <c r="AR896" s="103"/>
      <c r="AS896" s="103"/>
      <c r="AT896" s="103"/>
      <c r="AU896" s="103"/>
      <c r="AV896" s="103"/>
      <c r="AW896" s="103"/>
      <c r="AX896" s="103"/>
      <c r="AY896" s="103"/>
      <c r="AZ896" s="103"/>
      <c r="BA896" s="103"/>
      <c r="BB896" s="103"/>
      <c r="BC896" s="103"/>
      <c r="BD896" s="103"/>
      <c r="BE896" s="103"/>
    </row>
    <row r="897" ht="15.75" customHeight="1">
      <c r="A897" s="174"/>
      <c r="B897" s="180"/>
      <c r="C897" s="183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184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  <c r="AR897" s="103"/>
      <c r="AS897" s="103"/>
      <c r="AT897" s="103"/>
      <c r="AU897" s="103"/>
      <c r="AV897" s="103"/>
      <c r="AW897" s="103"/>
      <c r="AX897" s="103"/>
      <c r="AY897" s="103"/>
      <c r="AZ897" s="103"/>
      <c r="BA897" s="103"/>
      <c r="BB897" s="103"/>
      <c r="BC897" s="103"/>
      <c r="BD897" s="103"/>
      <c r="BE897" s="103"/>
    </row>
    <row r="898" ht="15.75" customHeight="1">
      <c r="A898" s="174"/>
      <c r="B898" s="180"/>
      <c r="C898" s="183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184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  <c r="AR898" s="103"/>
      <c r="AS898" s="103"/>
      <c r="AT898" s="103"/>
      <c r="AU898" s="103"/>
      <c r="AV898" s="103"/>
      <c r="AW898" s="103"/>
      <c r="AX898" s="103"/>
      <c r="AY898" s="103"/>
      <c r="AZ898" s="103"/>
      <c r="BA898" s="103"/>
      <c r="BB898" s="103"/>
      <c r="BC898" s="103"/>
      <c r="BD898" s="103"/>
      <c r="BE898" s="103"/>
    </row>
    <row r="899" ht="15.75" customHeight="1">
      <c r="A899" s="174"/>
      <c r="B899" s="180"/>
      <c r="C899" s="183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184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  <c r="AR899" s="103"/>
      <c r="AS899" s="103"/>
      <c r="AT899" s="103"/>
      <c r="AU899" s="103"/>
      <c r="AV899" s="103"/>
      <c r="AW899" s="103"/>
      <c r="AX899" s="103"/>
      <c r="AY899" s="103"/>
      <c r="AZ899" s="103"/>
      <c r="BA899" s="103"/>
      <c r="BB899" s="103"/>
      <c r="BC899" s="103"/>
      <c r="BD899" s="103"/>
      <c r="BE899" s="103"/>
    </row>
    <row r="900" ht="15.75" customHeight="1">
      <c r="A900" s="174"/>
      <c r="B900" s="180"/>
      <c r="C900" s="183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184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  <c r="AR900" s="103"/>
      <c r="AS900" s="103"/>
      <c r="AT900" s="103"/>
      <c r="AU900" s="103"/>
      <c r="AV900" s="103"/>
      <c r="AW900" s="103"/>
      <c r="AX900" s="103"/>
      <c r="AY900" s="103"/>
      <c r="AZ900" s="103"/>
      <c r="BA900" s="103"/>
      <c r="BB900" s="103"/>
      <c r="BC900" s="103"/>
      <c r="BD900" s="103"/>
      <c r="BE900" s="103"/>
    </row>
    <row r="901" ht="15.75" customHeight="1">
      <c r="A901" s="174"/>
      <c r="B901" s="180"/>
      <c r="C901" s="183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184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  <c r="AR901" s="103"/>
      <c r="AS901" s="103"/>
      <c r="AT901" s="103"/>
      <c r="AU901" s="103"/>
      <c r="AV901" s="103"/>
      <c r="AW901" s="103"/>
      <c r="AX901" s="103"/>
      <c r="AY901" s="103"/>
      <c r="AZ901" s="103"/>
      <c r="BA901" s="103"/>
      <c r="BB901" s="103"/>
      <c r="BC901" s="103"/>
      <c r="BD901" s="103"/>
      <c r="BE901" s="103"/>
    </row>
    <row r="902" ht="15.75" customHeight="1">
      <c r="A902" s="174"/>
      <c r="B902" s="180"/>
      <c r="C902" s="183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184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  <c r="AR902" s="103"/>
      <c r="AS902" s="103"/>
      <c r="AT902" s="103"/>
      <c r="AU902" s="103"/>
      <c r="AV902" s="103"/>
      <c r="AW902" s="103"/>
      <c r="AX902" s="103"/>
      <c r="AY902" s="103"/>
      <c r="AZ902" s="103"/>
      <c r="BA902" s="103"/>
      <c r="BB902" s="103"/>
      <c r="BC902" s="103"/>
      <c r="BD902" s="103"/>
      <c r="BE902" s="103"/>
    </row>
    <row r="903" ht="15.75" customHeight="1">
      <c r="A903" s="174"/>
      <c r="B903" s="180"/>
      <c r="C903" s="183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184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  <c r="AR903" s="103"/>
      <c r="AS903" s="103"/>
      <c r="AT903" s="103"/>
      <c r="AU903" s="103"/>
      <c r="AV903" s="103"/>
      <c r="AW903" s="103"/>
      <c r="AX903" s="103"/>
      <c r="AY903" s="103"/>
      <c r="AZ903" s="103"/>
      <c r="BA903" s="103"/>
      <c r="BB903" s="103"/>
      <c r="BC903" s="103"/>
      <c r="BD903" s="103"/>
      <c r="BE903" s="103"/>
    </row>
    <row r="904" ht="15.75" customHeight="1">
      <c r="A904" s="174"/>
      <c r="B904" s="180"/>
      <c r="C904" s="183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184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  <c r="AR904" s="103"/>
      <c r="AS904" s="103"/>
      <c r="AT904" s="103"/>
      <c r="AU904" s="103"/>
      <c r="AV904" s="103"/>
      <c r="AW904" s="103"/>
      <c r="AX904" s="103"/>
      <c r="AY904" s="103"/>
      <c r="AZ904" s="103"/>
      <c r="BA904" s="103"/>
      <c r="BB904" s="103"/>
      <c r="BC904" s="103"/>
      <c r="BD904" s="103"/>
      <c r="BE904" s="103"/>
    </row>
    <row r="905" ht="15.75" customHeight="1">
      <c r="A905" s="174"/>
      <c r="B905" s="180"/>
      <c r="C905" s="183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184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  <c r="AR905" s="103"/>
      <c r="AS905" s="103"/>
      <c r="AT905" s="103"/>
      <c r="AU905" s="103"/>
      <c r="AV905" s="103"/>
      <c r="AW905" s="103"/>
      <c r="AX905" s="103"/>
      <c r="AY905" s="103"/>
      <c r="AZ905" s="103"/>
      <c r="BA905" s="103"/>
      <c r="BB905" s="103"/>
      <c r="BC905" s="103"/>
      <c r="BD905" s="103"/>
      <c r="BE905" s="103"/>
    </row>
    <row r="906" ht="15.75" customHeight="1">
      <c r="A906" s="174"/>
      <c r="B906" s="180"/>
      <c r="C906" s="183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184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  <c r="AR906" s="103"/>
      <c r="AS906" s="103"/>
      <c r="AT906" s="103"/>
      <c r="AU906" s="103"/>
      <c r="AV906" s="103"/>
      <c r="AW906" s="103"/>
      <c r="AX906" s="103"/>
      <c r="AY906" s="103"/>
      <c r="AZ906" s="103"/>
      <c r="BA906" s="103"/>
      <c r="BB906" s="103"/>
      <c r="BC906" s="103"/>
      <c r="BD906" s="103"/>
      <c r="BE906" s="103"/>
    </row>
    <row r="907" ht="15.75" customHeight="1">
      <c r="A907" s="174"/>
      <c r="B907" s="180"/>
      <c r="C907" s="183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184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  <c r="AR907" s="103"/>
      <c r="AS907" s="103"/>
      <c r="AT907" s="103"/>
      <c r="AU907" s="103"/>
      <c r="AV907" s="103"/>
      <c r="AW907" s="103"/>
      <c r="AX907" s="103"/>
      <c r="AY907" s="103"/>
      <c r="AZ907" s="103"/>
      <c r="BA907" s="103"/>
      <c r="BB907" s="103"/>
      <c r="BC907" s="103"/>
      <c r="BD907" s="103"/>
      <c r="BE907" s="103"/>
    </row>
    <row r="908" ht="15.75" customHeight="1">
      <c r="A908" s="174"/>
      <c r="B908" s="180"/>
      <c r="C908" s="183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184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  <c r="AR908" s="103"/>
      <c r="AS908" s="103"/>
      <c r="AT908" s="103"/>
      <c r="AU908" s="103"/>
      <c r="AV908" s="103"/>
      <c r="AW908" s="103"/>
      <c r="AX908" s="103"/>
      <c r="AY908" s="103"/>
      <c r="AZ908" s="103"/>
      <c r="BA908" s="103"/>
      <c r="BB908" s="103"/>
      <c r="BC908" s="103"/>
      <c r="BD908" s="103"/>
      <c r="BE908" s="103"/>
    </row>
    <row r="909" ht="15.75" customHeight="1">
      <c r="A909" s="174"/>
      <c r="B909" s="180"/>
      <c r="C909" s="183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184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  <c r="AR909" s="103"/>
      <c r="AS909" s="103"/>
      <c r="AT909" s="103"/>
      <c r="AU909" s="103"/>
      <c r="AV909" s="103"/>
      <c r="AW909" s="103"/>
      <c r="AX909" s="103"/>
      <c r="AY909" s="103"/>
      <c r="AZ909" s="103"/>
      <c r="BA909" s="103"/>
      <c r="BB909" s="103"/>
      <c r="BC909" s="103"/>
      <c r="BD909" s="103"/>
      <c r="BE909" s="103"/>
    </row>
    <row r="910" ht="15.75" customHeight="1">
      <c r="A910" s="174"/>
      <c r="B910" s="180"/>
      <c r="C910" s="183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184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  <c r="AR910" s="103"/>
      <c r="AS910" s="103"/>
      <c r="AT910" s="103"/>
      <c r="AU910" s="103"/>
      <c r="AV910" s="103"/>
      <c r="AW910" s="103"/>
      <c r="AX910" s="103"/>
      <c r="AY910" s="103"/>
      <c r="AZ910" s="103"/>
      <c r="BA910" s="103"/>
      <c r="BB910" s="103"/>
      <c r="BC910" s="103"/>
      <c r="BD910" s="103"/>
      <c r="BE910" s="103"/>
    </row>
    <row r="911" ht="15.75" customHeight="1">
      <c r="A911" s="174"/>
      <c r="B911" s="180"/>
      <c r="C911" s="183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184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  <c r="AR911" s="103"/>
      <c r="AS911" s="103"/>
      <c r="AT911" s="103"/>
      <c r="AU911" s="103"/>
      <c r="AV911" s="103"/>
      <c r="AW911" s="103"/>
      <c r="AX911" s="103"/>
      <c r="AY911" s="103"/>
      <c r="AZ911" s="103"/>
      <c r="BA911" s="103"/>
      <c r="BB911" s="103"/>
      <c r="BC911" s="103"/>
      <c r="BD911" s="103"/>
      <c r="BE911" s="103"/>
    </row>
    <row r="912" ht="15.75" customHeight="1">
      <c r="A912" s="174"/>
      <c r="B912" s="180"/>
      <c r="C912" s="183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184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  <c r="AR912" s="103"/>
      <c r="AS912" s="103"/>
      <c r="AT912" s="103"/>
      <c r="AU912" s="103"/>
      <c r="AV912" s="103"/>
      <c r="AW912" s="103"/>
      <c r="AX912" s="103"/>
      <c r="AY912" s="103"/>
      <c r="AZ912" s="103"/>
      <c r="BA912" s="103"/>
      <c r="BB912" s="103"/>
      <c r="BC912" s="103"/>
      <c r="BD912" s="103"/>
      <c r="BE912" s="103"/>
    </row>
    <row r="913" ht="15.75" customHeight="1">
      <c r="A913" s="174"/>
      <c r="B913" s="180"/>
      <c r="C913" s="183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184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  <c r="AR913" s="103"/>
      <c r="AS913" s="103"/>
      <c r="AT913" s="103"/>
      <c r="AU913" s="103"/>
      <c r="AV913" s="103"/>
      <c r="AW913" s="103"/>
      <c r="AX913" s="103"/>
      <c r="AY913" s="103"/>
      <c r="AZ913" s="103"/>
      <c r="BA913" s="103"/>
      <c r="BB913" s="103"/>
      <c r="BC913" s="103"/>
      <c r="BD913" s="103"/>
      <c r="BE913" s="103"/>
    </row>
    <row r="914" ht="15.75" customHeight="1">
      <c r="A914" s="174"/>
      <c r="B914" s="180"/>
      <c r="C914" s="183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184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  <c r="AR914" s="103"/>
      <c r="AS914" s="103"/>
      <c r="AT914" s="103"/>
      <c r="AU914" s="103"/>
      <c r="AV914" s="103"/>
      <c r="AW914" s="103"/>
      <c r="AX914" s="103"/>
      <c r="AY914" s="103"/>
      <c r="AZ914" s="103"/>
      <c r="BA914" s="103"/>
      <c r="BB914" s="103"/>
      <c r="BC914" s="103"/>
      <c r="BD914" s="103"/>
      <c r="BE914" s="103"/>
    </row>
    <row r="915" ht="15.75" customHeight="1">
      <c r="A915" s="174"/>
      <c r="B915" s="180"/>
      <c r="C915" s="183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184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  <c r="AR915" s="103"/>
      <c r="AS915" s="103"/>
      <c r="AT915" s="103"/>
      <c r="AU915" s="103"/>
      <c r="AV915" s="103"/>
      <c r="AW915" s="103"/>
      <c r="AX915" s="103"/>
      <c r="AY915" s="103"/>
      <c r="AZ915" s="103"/>
      <c r="BA915" s="103"/>
      <c r="BB915" s="103"/>
      <c r="BC915" s="103"/>
      <c r="BD915" s="103"/>
      <c r="BE915" s="103"/>
    </row>
    <row r="916" ht="15.75" customHeight="1">
      <c r="A916" s="174"/>
      <c r="B916" s="180"/>
      <c r="C916" s="183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184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  <c r="AR916" s="103"/>
      <c r="AS916" s="103"/>
      <c r="AT916" s="103"/>
      <c r="AU916" s="103"/>
      <c r="AV916" s="103"/>
      <c r="AW916" s="103"/>
      <c r="AX916" s="103"/>
      <c r="AY916" s="103"/>
      <c r="AZ916" s="103"/>
      <c r="BA916" s="103"/>
      <c r="BB916" s="103"/>
      <c r="BC916" s="103"/>
      <c r="BD916" s="103"/>
      <c r="BE916" s="103"/>
    </row>
    <row r="917" ht="15.75" customHeight="1">
      <c r="A917" s="174"/>
      <c r="B917" s="180"/>
      <c r="C917" s="183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184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  <c r="AR917" s="103"/>
      <c r="AS917" s="103"/>
      <c r="AT917" s="103"/>
      <c r="AU917" s="103"/>
      <c r="AV917" s="103"/>
      <c r="AW917" s="103"/>
      <c r="AX917" s="103"/>
      <c r="AY917" s="103"/>
      <c r="AZ917" s="103"/>
      <c r="BA917" s="103"/>
      <c r="BB917" s="103"/>
      <c r="BC917" s="103"/>
      <c r="BD917" s="103"/>
      <c r="BE917" s="103"/>
    </row>
    <row r="918" ht="15.75" customHeight="1">
      <c r="A918" s="174"/>
      <c r="B918" s="180"/>
      <c r="C918" s="183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184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  <c r="AR918" s="103"/>
      <c r="AS918" s="103"/>
      <c r="AT918" s="103"/>
      <c r="AU918" s="103"/>
      <c r="AV918" s="103"/>
      <c r="AW918" s="103"/>
      <c r="AX918" s="103"/>
      <c r="AY918" s="103"/>
      <c r="AZ918" s="103"/>
      <c r="BA918" s="103"/>
      <c r="BB918" s="103"/>
      <c r="BC918" s="103"/>
      <c r="BD918" s="103"/>
      <c r="BE918" s="103"/>
    </row>
    <row r="919" ht="15.75" customHeight="1">
      <c r="A919" s="174"/>
      <c r="B919" s="180"/>
      <c r="C919" s="183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184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  <c r="AR919" s="103"/>
      <c r="AS919" s="103"/>
      <c r="AT919" s="103"/>
      <c r="AU919" s="103"/>
      <c r="AV919" s="103"/>
      <c r="AW919" s="103"/>
      <c r="AX919" s="103"/>
      <c r="AY919" s="103"/>
      <c r="AZ919" s="103"/>
      <c r="BA919" s="103"/>
      <c r="BB919" s="103"/>
      <c r="BC919" s="103"/>
      <c r="BD919" s="103"/>
      <c r="BE919" s="103"/>
    </row>
    <row r="920" ht="15.75" customHeight="1">
      <c r="A920" s="174"/>
      <c r="B920" s="180"/>
      <c r="C920" s="183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184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  <c r="AR920" s="103"/>
      <c r="AS920" s="103"/>
      <c r="AT920" s="103"/>
      <c r="AU920" s="103"/>
      <c r="AV920" s="103"/>
      <c r="AW920" s="103"/>
      <c r="AX920" s="103"/>
      <c r="AY920" s="103"/>
      <c r="AZ920" s="103"/>
      <c r="BA920" s="103"/>
      <c r="BB920" s="103"/>
      <c r="BC920" s="103"/>
      <c r="BD920" s="103"/>
      <c r="BE920" s="103"/>
    </row>
    <row r="921" ht="15.75" customHeight="1">
      <c r="A921" s="174"/>
      <c r="B921" s="180"/>
      <c r="C921" s="183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184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  <c r="AR921" s="103"/>
      <c r="AS921" s="103"/>
      <c r="AT921" s="103"/>
      <c r="AU921" s="103"/>
      <c r="AV921" s="103"/>
      <c r="AW921" s="103"/>
      <c r="AX921" s="103"/>
      <c r="AY921" s="103"/>
      <c r="AZ921" s="103"/>
      <c r="BA921" s="103"/>
      <c r="BB921" s="103"/>
      <c r="BC921" s="103"/>
      <c r="BD921" s="103"/>
      <c r="BE921" s="103"/>
    </row>
    <row r="922" ht="15.75" customHeight="1">
      <c r="A922" s="174"/>
      <c r="B922" s="180"/>
      <c r="C922" s="183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184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  <c r="AR922" s="103"/>
      <c r="AS922" s="103"/>
      <c r="AT922" s="103"/>
      <c r="AU922" s="103"/>
      <c r="AV922" s="103"/>
      <c r="AW922" s="103"/>
      <c r="AX922" s="103"/>
      <c r="AY922" s="103"/>
      <c r="AZ922" s="103"/>
      <c r="BA922" s="103"/>
      <c r="BB922" s="103"/>
      <c r="BC922" s="103"/>
      <c r="BD922" s="103"/>
      <c r="BE922" s="103"/>
    </row>
    <row r="923" ht="15.75" customHeight="1">
      <c r="A923" s="174"/>
      <c r="B923" s="180"/>
      <c r="C923" s="183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184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  <c r="AR923" s="103"/>
      <c r="AS923" s="103"/>
      <c r="AT923" s="103"/>
      <c r="AU923" s="103"/>
      <c r="AV923" s="103"/>
      <c r="AW923" s="103"/>
      <c r="AX923" s="103"/>
      <c r="AY923" s="103"/>
      <c r="AZ923" s="103"/>
      <c r="BA923" s="103"/>
      <c r="BB923" s="103"/>
      <c r="BC923" s="103"/>
      <c r="BD923" s="103"/>
      <c r="BE923" s="103"/>
    </row>
    <row r="924" ht="15.75" customHeight="1">
      <c r="A924" s="174"/>
      <c r="B924" s="180"/>
      <c r="C924" s="183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184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  <c r="AR924" s="103"/>
      <c r="AS924" s="103"/>
      <c r="AT924" s="103"/>
      <c r="AU924" s="103"/>
      <c r="AV924" s="103"/>
      <c r="AW924" s="103"/>
      <c r="AX924" s="103"/>
      <c r="AY924" s="103"/>
      <c r="AZ924" s="103"/>
      <c r="BA924" s="103"/>
      <c r="BB924" s="103"/>
      <c r="BC924" s="103"/>
      <c r="BD924" s="103"/>
      <c r="BE924" s="103"/>
    </row>
    <row r="925" ht="15.75" customHeight="1">
      <c r="A925" s="174"/>
      <c r="B925" s="180"/>
      <c r="C925" s="183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184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  <c r="AR925" s="103"/>
      <c r="AS925" s="103"/>
      <c r="AT925" s="103"/>
      <c r="AU925" s="103"/>
      <c r="AV925" s="103"/>
      <c r="AW925" s="103"/>
      <c r="AX925" s="103"/>
      <c r="AY925" s="103"/>
      <c r="AZ925" s="103"/>
      <c r="BA925" s="103"/>
      <c r="BB925" s="103"/>
      <c r="BC925" s="103"/>
      <c r="BD925" s="103"/>
      <c r="BE925" s="103"/>
    </row>
    <row r="926" ht="15.75" customHeight="1">
      <c r="A926" s="174"/>
      <c r="B926" s="180"/>
      <c r="C926" s="183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184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  <c r="AR926" s="103"/>
      <c r="AS926" s="103"/>
      <c r="AT926" s="103"/>
      <c r="AU926" s="103"/>
      <c r="AV926" s="103"/>
      <c r="AW926" s="103"/>
      <c r="AX926" s="103"/>
      <c r="AY926" s="103"/>
      <c r="AZ926" s="103"/>
      <c r="BA926" s="103"/>
      <c r="BB926" s="103"/>
      <c r="BC926" s="103"/>
      <c r="BD926" s="103"/>
      <c r="BE926" s="103"/>
    </row>
    <row r="927" ht="15.75" customHeight="1">
      <c r="A927" s="174"/>
      <c r="B927" s="180"/>
      <c r="C927" s="183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184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  <c r="AR927" s="103"/>
      <c r="AS927" s="103"/>
      <c r="AT927" s="103"/>
      <c r="AU927" s="103"/>
      <c r="AV927" s="103"/>
      <c r="AW927" s="103"/>
      <c r="AX927" s="103"/>
      <c r="AY927" s="103"/>
      <c r="AZ927" s="103"/>
      <c r="BA927" s="103"/>
      <c r="BB927" s="103"/>
      <c r="BC927" s="103"/>
      <c r="BD927" s="103"/>
      <c r="BE927" s="103"/>
    </row>
    <row r="928" ht="15.75" customHeight="1">
      <c r="A928" s="174"/>
      <c r="B928" s="180"/>
      <c r="C928" s="183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184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  <c r="AR928" s="103"/>
      <c r="AS928" s="103"/>
      <c r="AT928" s="103"/>
      <c r="AU928" s="103"/>
      <c r="AV928" s="103"/>
      <c r="AW928" s="103"/>
      <c r="AX928" s="103"/>
      <c r="AY928" s="103"/>
      <c r="AZ928" s="103"/>
      <c r="BA928" s="103"/>
      <c r="BB928" s="103"/>
      <c r="BC928" s="103"/>
      <c r="BD928" s="103"/>
      <c r="BE928" s="103"/>
    </row>
    <row r="929" ht="15.75" customHeight="1">
      <c r="A929" s="174"/>
      <c r="B929" s="180"/>
      <c r="C929" s="183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184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  <c r="AR929" s="103"/>
      <c r="AS929" s="103"/>
      <c r="AT929" s="103"/>
      <c r="AU929" s="103"/>
      <c r="AV929" s="103"/>
      <c r="AW929" s="103"/>
      <c r="AX929" s="103"/>
      <c r="AY929" s="103"/>
      <c r="AZ929" s="103"/>
      <c r="BA929" s="103"/>
      <c r="BB929" s="103"/>
      <c r="BC929" s="103"/>
      <c r="BD929" s="103"/>
      <c r="BE929" s="103"/>
    </row>
    <row r="930" ht="15.75" customHeight="1">
      <c r="A930" s="174"/>
      <c r="B930" s="180"/>
      <c r="C930" s="183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184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  <c r="AR930" s="103"/>
      <c r="AS930" s="103"/>
      <c r="AT930" s="103"/>
      <c r="AU930" s="103"/>
      <c r="AV930" s="103"/>
      <c r="AW930" s="103"/>
      <c r="AX930" s="103"/>
      <c r="AY930" s="103"/>
      <c r="AZ930" s="103"/>
      <c r="BA930" s="103"/>
      <c r="BB930" s="103"/>
      <c r="BC930" s="103"/>
      <c r="BD930" s="103"/>
      <c r="BE930" s="103"/>
    </row>
    <row r="931" ht="15.75" customHeight="1">
      <c r="A931" s="174"/>
      <c r="B931" s="180"/>
      <c r="C931" s="183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184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  <c r="AR931" s="103"/>
      <c r="AS931" s="103"/>
      <c r="AT931" s="103"/>
      <c r="AU931" s="103"/>
      <c r="AV931" s="103"/>
      <c r="AW931" s="103"/>
      <c r="AX931" s="103"/>
      <c r="AY931" s="103"/>
      <c r="AZ931" s="103"/>
      <c r="BA931" s="103"/>
      <c r="BB931" s="103"/>
      <c r="BC931" s="103"/>
      <c r="BD931" s="103"/>
      <c r="BE931" s="103"/>
    </row>
    <row r="932" ht="15.75" customHeight="1">
      <c r="A932" s="174"/>
      <c r="B932" s="180"/>
      <c r="C932" s="183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184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  <c r="AR932" s="103"/>
      <c r="AS932" s="103"/>
      <c r="AT932" s="103"/>
      <c r="AU932" s="103"/>
      <c r="AV932" s="103"/>
      <c r="AW932" s="103"/>
      <c r="AX932" s="103"/>
      <c r="AY932" s="103"/>
      <c r="AZ932" s="103"/>
      <c r="BA932" s="103"/>
      <c r="BB932" s="103"/>
      <c r="BC932" s="103"/>
      <c r="BD932" s="103"/>
      <c r="BE932" s="103"/>
    </row>
    <row r="933" ht="15.75" customHeight="1">
      <c r="A933" s="174"/>
      <c r="B933" s="180"/>
      <c r="C933" s="183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184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  <c r="AR933" s="103"/>
      <c r="AS933" s="103"/>
      <c r="AT933" s="103"/>
      <c r="AU933" s="103"/>
      <c r="AV933" s="103"/>
      <c r="AW933" s="103"/>
      <c r="AX933" s="103"/>
      <c r="AY933" s="103"/>
      <c r="AZ933" s="103"/>
      <c r="BA933" s="103"/>
      <c r="BB933" s="103"/>
      <c r="BC933" s="103"/>
      <c r="BD933" s="103"/>
      <c r="BE933" s="103"/>
    </row>
    <row r="934" ht="15.75" customHeight="1">
      <c r="A934" s="174"/>
      <c r="B934" s="180"/>
      <c r="C934" s="183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184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  <c r="AR934" s="103"/>
      <c r="AS934" s="103"/>
      <c r="AT934" s="103"/>
      <c r="AU934" s="103"/>
      <c r="AV934" s="103"/>
      <c r="AW934" s="103"/>
      <c r="AX934" s="103"/>
      <c r="AY934" s="103"/>
      <c r="AZ934" s="103"/>
      <c r="BA934" s="103"/>
      <c r="BB934" s="103"/>
      <c r="BC934" s="103"/>
      <c r="BD934" s="103"/>
      <c r="BE934" s="103"/>
    </row>
    <row r="935" ht="15.75" customHeight="1">
      <c r="A935" s="174"/>
      <c r="B935" s="180"/>
      <c r="C935" s="183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184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  <c r="AR935" s="103"/>
      <c r="AS935" s="103"/>
      <c r="AT935" s="103"/>
      <c r="AU935" s="103"/>
      <c r="AV935" s="103"/>
      <c r="AW935" s="103"/>
      <c r="AX935" s="103"/>
      <c r="AY935" s="103"/>
      <c r="AZ935" s="103"/>
      <c r="BA935" s="103"/>
      <c r="BB935" s="103"/>
      <c r="BC935" s="103"/>
      <c r="BD935" s="103"/>
      <c r="BE935" s="103"/>
    </row>
    <row r="936" ht="15.75" customHeight="1">
      <c r="A936" s="174"/>
      <c r="B936" s="180"/>
      <c r="C936" s="183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184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  <c r="AR936" s="103"/>
      <c r="AS936" s="103"/>
      <c r="AT936" s="103"/>
      <c r="AU936" s="103"/>
      <c r="AV936" s="103"/>
      <c r="AW936" s="103"/>
      <c r="AX936" s="103"/>
      <c r="AY936" s="103"/>
      <c r="AZ936" s="103"/>
      <c r="BA936" s="103"/>
      <c r="BB936" s="103"/>
      <c r="BC936" s="103"/>
      <c r="BD936" s="103"/>
      <c r="BE936" s="103"/>
    </row>
    <row r="937" ht="15.75" customHeight="1">
      <c r="A937" s="174"/>
      <c r="B937" s="180"/>
      <c r="C937" s="183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184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  <c r="AR937" s="103"/>
      <c r="AS937" s="103"/>
      <c r="AT937" s="103"/>
      <c r="AU937" s="103"/>
      <c r="AV937" s="103"/>
      <c r="AW937" s="103"/>
      <c r="AX937" s="103"/>
      <c r="AY937" s="103"/>
      <c r="AZ937" s="103"/>
      <c r="BA937" s="103"/>
      <c r="BB937" s="103"/>
      <c r="BC937" s="103"/>
      <c r="BD937" s="103"/>
      <c r="BE937" s="103"/>
    </row>
    <row r="938" ht="15.75" customHeight="1">
      <c r="A938" s="174"/>
      <c r="B938" s="180"/>
      <c r="C938" s="183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184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  <c r="AR938" s="103"/>
      <c r="AS938" s="103"/>
      <c r="AT938" s="103"/>
      <c r="AU938" s="103"/>
      <c r="AV938" s="103"/>
      <c r="AW938" s="103"/>
      <c r="AX938" s="103"/>
      <c r="AY938" s="103"/>
      <c r="AZ938" s="103"/>
      <c r="BA938" s="103"/>
      <c r="BB938" s="103"/>
      <c r="BC938" s="103"/>
      <c r="BD938" s="103"/>
      <c r="BE938" s="103"/>
    </row>
    <row r="939" ht="15.75" customHeight="1">
      <c r="A939" s="174"/>
      <c r="B939" s="180"/>
      <c r="C939" s="183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184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  <c r="AR939" s="103"/>
      <c r="AS939" s="103"/>
      <c r="AT939" s="103"/>
      <c r="AU939" s="103"/>
      <c r="AV939" s="103"/>
      <c r="AW939" s="103"/>
      <c r="AX939" s="103"/>
      <c r="AY939" s="103"/>
      <c r="AZ939" s="103"/>
      <c r="BA939" s="103"/>
      <c r="BB939" s="103"/>
      <c r="BC939" s="103"/>
      <c r="BD939" s="103"/>
      <c r="BE939" s="103"/>
    </row>
    <row r="940" ht="15.75" customHeight="1">
      <c r="A940" s="174"/>
      <c r="B940" s="180"/>
      <c r="C940" s="183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184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  <c r="AR940" s="103"/>
      <c r="AS940" s="103"/>
      <c r="AT940" s="103"/>
      <c r="AU940" s="103"/>
      <c r="AV940" s="103"/>
      <c r="AW940" s="103"/>
      <c r="AX940" s="103"/>
      <c r="AY940" s="103"/>
      <c r="AZ940" s="103"/>
      <c r="BA940" s="103"/>
      <c r="BB940" s="103"/>
      <c r="BC940" s="103"/>
      <c r="BD940" s="103"/>
      <c r="BE940" s="103"/>
    </row>
    <row r="941" ht="15.75" customHeight="1">
      <c r="A941" s="174"/>
      <c r="B941" s="180"/>
      <c r="C941" s="183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184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  <c r="AR941" s="103"/>
      <c r="AS941" s="103"/>
      <c r="AT941" s="103"/>
      <c r="AU941" s="103"/>
      <c r="AV941" s="103"/>
      <c r="AW941" s="103"/>
      <c r="AX941" s="103"/>
      <c r="AY941" s="103"/>
      <c r="AZ941" s="103"/>
      <c r="BA941" s="103"/>
      <c r="BB941" s="103"/>
      <c r="BC941" s="103"/>
      <c r="BD941" s="103"/>
      <c r="BE941" s="103"/>
    </row>
    <row r="942" ht="15.75" customHeight="1">
      <c r="A942" s="174"/>
      <c r="B942" s="180"/>
      <c r="C942" s="183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184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  <c r="AR942" s="103"/>
      <c r="AS942" s="103"/>
      <c r="AT942" s="103"/>
      <c r="AU942" s="103"/>
      <c r="AV942" s="103"/>
      <c r="AW942" s="103"/>
      <c r="AX942" s="103"/>
      <c r="AY942" s="103"/>
      <c r="AZ942" s="103"/>
      <c r="BA942" s="103"/>
      <c r="BB942" s="103"/>
      <c r="BC942" s="103"/>
      <c r="BD942" s="103"/>
      <c r="BE942" s="103"/>
    </row>
    <row r="943" ht="15.75" customHeight="1">
      <c r="A943" s="174"/>
      <c r="B943" s="180"/>
      <c r="C943" s="183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184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  <c r="AR943" s="103"/>
      <c r="AS943" s="103"/>
      <c r="AT943" s="103"/>
      <c r="AU943" s="103"/>
      <c r="AV943" s="103"/>
      <c r="AW943" s="103"/>
      <c r="AX943" s="103"/>
      <c r="AY943" s="103"/>
      <c r="AZ943" s="103"/>
      <c r="BA943" s="103"/>
      <c r="BB943" s="103"/>
      <c r="BC943" s="103"/>
      <c r="BD943" s="103"/>
      <c r="BE943" s="103"/>
    </row>
    <row r="944" ht="15.75" customHeight="1">
      <c r="A944" s="174"/>
      <c r="B944" s="180"/>
      <c r="C944" s="183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184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  <c r="AR944" s="103"/>
      <c r="AS944" s="103"/>
      <c r="AT944" s="103"/>
      <c r="AU944" s="103"/>
      <c r="AV944" s="103"/>
      <c r="AW944" s="103"/>
      <c r="AX944" s="103"/>
      <c r="AY944" s="103"/>
      <c r="AZ944" s="103"/>
      <c r="BA944" s="103"/>
      <c r="BB944" s="103"/>
      <c r="BC944" s="103"/>
      <c r="BD944" s="103"/>
      <c r="BE944" s="103"/>
    </row>
    <row r="945" ht="15.75" customHeight="1">
      <c r="A945" s="174"/>
      <c r="B945" s="180"/>
      <c r="C945" s="183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184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  <c r="AR945" s="103"/>
      <c r="AS945" s="103"/>
      <c r="AT945" s="103"/>
      <c r="AU945" s="103"/>
      <c r="AV945" s="103"/>
      <c r="AW945" s="103"/>
      <c r="AX945" s="103"/>
      <c r="AY945" s="103"/>
      <c r="AZ945" s="103"/>
      <c r="BA945" s="103"/>
      <c r="BB945" s="103"/>
      <c r="BC945" s="103"/>
      <c r="BD945" s="103"/>
      <c r="BE945" s="103"/>
    </row>
    <row r="946" ht="15.75" customHeight="1">
      <c r="A946" s="174"/>
      <c r="B946" s="180"/>
      <c r="C946" s="183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184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  <c r="AR946" s="103"/>
      <c r="AS946" s="103"/>
      <c r="AT946" s="103"/>
      <c r="AU946" s="103"/>
      <c r="AV946" s="103"/>
      <c r="AW946" s="103"/>
      <c r="AX946" s="103"/>
      <c r="AY946" s="103"/>
      <c r="AZ946" s="103"/>
      <c r="BA946" s="103"/>
      <c r="BB946" s="103"/>
      <c r="BC946" s="103"/>
      <c r="BD946" s="103"/>
      <c r="BE946" s="103"/>
    </row>
    <row r="947" ht="15.75" customHeight="1">
      <c r="A947" s="174"/>
      <c r="B947" s="180"/>
      <c r="C947" s="183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184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  <c r="AR947" s="103"/>
      <c r="AS947" s="103"/>
      <c r="AT947" s="103"/>
      <c r="AU947" s="103"/>
      <c r="AV947" s="103"/>
      <c r="AW947" s="103"/>
      <c r="AX947" s="103"/>
      <c r="AY947" s="103"/>
      <c r="AZ947" s="103"/>
      <c r="BA947" s="103"/>
      <c r="BB947" s="103"/>
      <c r="BC947" s="103"/>
      <c r="BD947" s="103"/>
      <c r="BE947" s="103"/>
    </row>
    <row r="948" ht="15.75" customHeight="1">
      <c r="A948" s="174"/>
      <c r="B948" s="180"/>
      <c r="C948" s="183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184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  <c r="AR948" s="103"/>
      <c r="AS948" s="103"/>
      <c r="AT948" s="103"/>
      <c r="AU948" s="103"/>
      <c r="AV948" s="103"/>
      <c r="AW948" s="103"/>
      <c r="AX948" s="103"/>
      <c r="AY948" s="103"/>
      <c r="AZ948" s="103"/>
      <c r="BA948" s="103"/>
      <c r="BB948" s="103"/>
      <c r="BC948" s="103"/>
      <c r="BD948" s="103"/>
      <c r="BE948" s="103"/>
    </row>
    <row r="949" ht="15.75" customHeight="1">
      <c r="A949" s="174"/>
      <c r="B949" s="180"/>
      <c r="C949" s="183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184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  <c r="AR949" s="103"/>
      <c r="AS949" s="103"/>
      <c r="AT949" s="103"/>
      <c r="AU949" s="103"/>
      <c r="AV949" s="103"/>
      <c r="AW949" s="103"/>
      <c r="AX949" s="103"/>
      <c r="AY949" s="103"/>
      <c r="AZ949" s="103"/>
      <c r="BA949" s="103"/>
      <c r="BB949" s="103"/>
      <c r="BC949" s="103"/>
      <c r="BD949" s="103"/>
      <c r="BE949" s="103"/>
    </row>
    <row r="950" ht="15.75" customHeight="1">
      <c r="A950" s="174"/>
      <c r="B950" s="180"/>
      <c r="C950" s="183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184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  <c r="AR950" s="103"/>
      <c r="AS950" s="103"/>
      <c r="AT950" s="103"/>
      <c r="AU950" s="103"/>
      <c r="AV950" s="103"/>
      <c r="AW950" s="103"/>
      <c r="AX950" s="103"/>
      <c r="AY950" s="103"/>
      <c r="AZ950" s="103"/>
      <c r="BA950" s="103"/>
      <c r="BB950" s="103"/>
      <c r="BC950" s="103"/>
      <c r="BD950" s="103"/>
      <c r="BE950" s="103"/>
    </row>
    <row r="951" ht="15.75" customHeight="1">
      <c r="A951" s="174"/>
      <c r="B951" s="180"/>
      <c r="C951" s="183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184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  <c r="AR951" s="103"/>
      <c r="AS951" s="103"/>
      <c r="AT951" s="103"/>
      <c r="AU951" s="103"/>
      <c r="AV951" s="103"/>
      <c r="AW951" s="103"/>
      <c r="AX951" s="103"/>
      <c r="AY951" s="103"/>
      <c r="AZ951" s="103"/>
      <c r="BA951" s="103"/>
      <c r="BB951" s="103"/>
      <c r="BC951" s="103"/>
      <c r="BD951" s="103"/>
      <c r="BE951" s="103"/>
    </row>
    <row r="952" ht="15.75" customHeight="1">
      <c r="A952" s="174"/>
      <c r="B952" s="180"/>
      <c r="C952" s="183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184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  <c r="AR952" s="103"/>
      <c r="AS952" s="103"/>
      <c r="AT952" s="103"/>
      <c r="AU952" s="103"/>
      <c r="AV952" s="103"/>
      <c r="AW952" s="103"/>
      <c r="AX952" s="103"/>
      <c r="AY952" s="103"/>
      <c r="AZ952" s="103"/>
      <c r="BA952" s="103"/>
      <c r="BB952" s="103"/>
      <c r="BC952" s="103"/>
      <c r="BD952" s="103"/>
      <c r="BE952" s="103"/>
    </row>
    <row r="953" ht="15.75" customHeight="1">
      <c r="A953" s="174"/>
      <c r="B953" s="180"/>
      <c r="C953" s="183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184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  <c r="AR953" s="103"/>
      <c r="AS953" s="103"/>
      <c r="AT953" s="103"/>
      <c r="AU953" s="103"/>
      <c r="AV953" s="103"/>
      <c r="AW953" s="103"/>
      <c r="AX953" s="103"/>
      <c r="AY953" s="103"/>
      <c r="AZ953" s="103"/>
      <c r="BA953" s="103"/>
      <c r="BB953" s="103"/>
      <c r="BC953" s="103"/>
      <c r="BD953" s="103"/>
      <c r="BE953" s="103"/>
    </row>
    <row r="954" ht="15.75" customHeight="1">
      <c r="A954" s="174"/>
      <c r="B954" s="180"/>
      <c r="C954" s="183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184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  <c r="AR954" s="103"/>
      <c r="AS954" s="103"/>
      <c r="AT954" s="103"/>
      <c r="AU954" s="103"/>
      <c r="AV954" s="103"/>
      <c r="AW954" s="103"/>
      <c r="AX954" s="103"/>
      <c r="AY954" s="103"/>
      <c r="AZ954" s="103"/>
      <c r="BA954" s="103"/>
      <c r="BB954" s="103"/>
      <c r="BC954" s="103"/>
      <c r="BD954" s="103"/>
      <c r="BE954" s="103"/>
    </row>
    <row r="955" ht="15.75" customHeight="1">
      <c r="A955" s="174"/>
      <c r="B955" s="180"/>
      <c r="C955" s="183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184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  <c r="AR955" s="103"/>
      <c r="AS955" s="103"/>
      <c r="AT955" s="103"/>
      <c r="AU955" s="103"/>
      <c r="AV955" s="103"/>
      <c r="AW955" s="103"/>
      <c r="AX955" s="103"/>
      <c r="AY955" s="103"/>
      <c r="AZ955" s="103"/>
      <c r="BA955" s="103"/>
      <c r="BB955" s="103"/>
      <c r="BC955" s="103"/>
      <c r="BD955" s="103"/>
      <c r="BE955" s="103"/>
    </row>
    <row r="956" ht="15.75" customHeight="1">
      <c r="A956" s="174"/>
      <c r="B956" s="180"/>
      <c r="C956" s="183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184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  <c r="AR956" s="103"/>
      <c r="AS956" s="103"/>
      <c r="AT956" s="103"/>
      <c r="AU956" s="103"/>
      <c r="AV956" s="103"/>
      <c r="AW956" s="103"/>
      <c r="AX956" s="103"/>
      <c r="AY956" s="103"/>
      <c r="AZ956" s="103"/>
      <c r="BA956" s="103"/>
      <c r="BB956" s="103"/>
      <c r="BC956" s="103"/>
      <c r="BD956" s="103"/>
      <c r="BE956" s="103"/>
    </row>
    <row r="957" ht="15.75" customHeight="1">
      <c r="A957" s="174"/>
      <c r="B957" s="180"/>
      <c r="C957" s="183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184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  <c r="AR957" s="103"/>
      <c r="AS957" s="103"/>
      <c r="AT957" s="103"/>
      <c r="AU957" s="103"/>
      <c r="AV957" s="103"/>
      <c r="AW957" s="103"/>
      <c r="AX957" s="103"/>
      <c r="AY957" s="103"/>
      <c r="AZ957" s="103"/>
      <c r="BA957" s="103"/>
      <c r="BB957" s="103"/>
      <c r="BC957" s="103"/>
      <c r="BD957" s="103"/>
      <c r="BE957" s="103"/>
    </row>
    <row r="958" ht="15.75" customHeight="1">
      <c r="A958" s="174"/>
      <c r="B958" s="180"/>
      <c r="C958" s="183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184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  <c r="AR958" s="103"/>
      <c r="AS958" s="103"/>
      <c r="AT958" s="103"/>
      <c r="AU958" s="103"/>
      <c r="AV958" s="103"/>
      <c r="AW958" s="103"/>
      <c r="AX958" s="103"/>
      <c r="AY958" s="103"/>
      <c r="AZ958" s="103"/>
      <c r="BA958" s="103"/>
      <c r="BB958" s="103"/>
      <c r="BC958" s="103"/>
      <c r="BD958" s="103"/>
      <c r="BE958" s="103"/>
    </row>
    <row r="959" ht="15.75" customHeight="1">
      <c r="A959" s="174"/>
      <c r="B959" s="180"/>
      <c r="C959" s="183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184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  <c r="AR959" s="103"/>
      <c r="AS959" s="103"/>
      <c r="AT959" s="103"/>
      <c r="AU959" s="103"/>
      <c r="AV959" s="103"/>
      <c r="AW959" s="103"/>
      <c r="AX959" s="103"/>
      <c r="AY959" s="103"/>
      <c r="AZ959" s="103"/>
      <c r="BA959" s="103"/>
      <c r="BB959" s="103"/>
      <c r="BC959" s="103"/>
      <c r="BD959" s="103"/>
      <c r="BE959" s="103"/>
    </row>
    <row r="960" ht="15.75" customHeight="1">
      <c r="A960" s="174"/>
      <c r="B960" s="180"/>
      <c r="C960" s="183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184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  <c r="AR960" s="103"/>
      <c r="AS960" s="103"/>
      <c r="AT960" s="103"/>
      <c r="AU960" s="103"/>
      <c r="AV960" s="103"/>
      <c r="AW960" s="103"/>
      <c r="AX960" s="103"/>
      <c r="AY960" s="103"/>
      <c r="AZ960" s="103"/>
      <c r="BA960" s="103"/>
      <c r="BB960" s="103"/>
      <c r="BC960" s="103"/>
      <c r="BD960" s="103"/>
      <c r="BE960" s="103"/>
    </row>
  </sheetData>
  <autoFilter ref="$A$2:$AC$89">
    <filterColumn colId="1">
      <filters>
        <filter val="ADIMPLENTE"/>
      </filters>
    </filterColumn>
    <sortState ref="A2:AC89">
      <sortCondition descending="1" sortBy="cellColor" ref="A2:A89" dxfId="6"/>
    </sortState>
  </autoFilter>
  <conditionalFormatting sqref="O1:O960">
    <cfRule type="beginsWith" dxfId="4" priority="1" operator="beginsWith" text="-">
      <formula>LEFT((O1),LEN("-"))=("-")</formula>
    </cfRule>
  </conditionalFormatting>
  <conditionalFormatting sqref="B1:B960">
    <cfRule type="containsText" dxfId="0" priority="2" operator="containsText" text="INADIMPLENTE">
      <formula>NOT(ISERROR(SEARCH(("INADIMPLENTE"),(B1))))</formula>
    </cfRule>
  </conditionalFormatting>
  <conditionalFormatting sqref="B1:B960">
    <cfRule type="containsText" dxfId="1" priority="3" operator="containsText" text="ADIMPLENTE">
      <formula>NOT(ISERROR(SEARCH(("ADIMPLENTE"),(B1))))</formula>
    </cfRule>
  </conditionalFormatting>
  <conditionalFormatting sqref="B1:B960">
    <cfRule type="containsText" dxfId="2" priority="4" operator="containsText" text="NÃO CONCLUIU">
      <formula>NOT(ISERROR(SEARCH(("NÃO CONCLUIU"),(B1))))</formula>
    </cfRule>
  </conditionalFormatting>
  <conditionalFormatting sqref="B1:B960">
    <cfRule type="containsText" dxfId="3" priority="5" operator="containsText" text="VOLUNTÁRIE">
      <formula>NOT(ISERROR(SEARCH(("VOLUNTÁRIE"),(B1))))</formula>
    </cfRule>
  </conditionalFormatting>
  <conditionalFormatting sqref="B1:B960">
    <cfRule type="containsText" dxfId="2" priority="6" operator="containsText" text="FALTA PAGAMENTO">
      <formula>NOT(ISERROR(SEARCH(("FALTA PAGAMENTO"),(B1))))</formula>
    </cfRule>
  </conditionalFormatting>
  <dataValidations>
    <dataValidation type="list" allowBlank="1" sqref="B6">
      <formula1>"ADIMPLENTE,INADIMPLENTE,FALTA PAGAMENTO"</formula1>
    </dataValidation>
    <dataValidation type="list" allowBlank="1" sqref="L3:L105 K106:L106 L107:L959">
      <formula1>"ASSOCIADO PLENO,ASSOCIADO JÚNIOR,ASSOCIADO VOLUNTÁRIO"</formula1>
    </dataValidation>
    <dataValidation type="list" allowBlank="1" sqref="F3:F958">
      <formula1>"FEMININO,MASCULINO"</formula1>
    </dataValidation>
    <dataValidation type="list" allowBlank="1" showErrorMessage="1" sqref="H3:H105">
      <formula1>"RS,AC,DF,MG,SC,BA,RJ,AM,SP,RN,UK,MT,PA,PE,CE,PR,MA,GO,RR,PA"</formula1>
    </dataValidation>
    <dataValidation type="list" allowBlank="1" showErrorMessage="1" sqref="H106:H125">
      <formula1>"RS,AC,DF,MG,SC,BA,RJ,AM,SP,RN,UK,MT,PA,PE,CE,PR,MA,GO,PA - Pará,RR,N/A"</formula1>
    </dataValidation>
    <dataValidation type="list" allowBlank="1" sqref="B3:B5 B7:B125">
      <formula1>"ADIMPLENTE,INADIMPLENTE,FALTA PAGAMENTO,NÃO CONCLUIU,VOLUNTÁRIE"</formula1>
    </dataValidation>
  </dataValidations>
  <hyperlinks>
    <hyperlink r:id="rId1" ref="J68"/>
    <hyperlink r:id="rId2" ref="J111"/>
  </hyperlinks>
  <printOptions/>
  <pageMargins bottom="0.787401575" footer="0.0" header="0.0" left="0.511811024" right="0.511811024" top="0.7874015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63"/>
    <col customWidth="1" min="3" max="3" width="52.25"/>
    <col customWidth="1" min="4" max="4" width="22.88"/>
    <col customWidth="1" min="6" max="6" width="15.0"/>
    <col customWidth="1" min="7" max="7" width="27.0"/>
    <col customWidth="1" min="9" max="9" width="33.13"/>
    <col customWidth="1" min="10" max="10" width="39.5"/>
    <col customWidth="1" min="11" max="11" width="31.13"/>
    <col customWidth="1" min="12" max="12" width="26.5"/>
    <col customWidth="1" min="13" max="13" width="94.88"/>
  </cols>
  <sheetData>
    <row r="1">
      <c r="A1" s="1"/>
      <c r="B1" s="1"/>
      <c r="C1" s="3"/>
      <c r="D1" s="1"/>
      <c r="E1" s="3">
        <f>COUNTIF(L3:L987,"=ASSOCIADO PLENO")</f>
        <v>9</v>
      </c>
      <c r="F1" s="3"/>
      <c r="G1" s="1"/>
      <c r="H1" s="3">
        <f>COUNTIF(L3:L951,"=ASSOCIADO JÚNIOR")</f>
        <v>2</v>
      </c>
      <c r="I1" s="1"/>
      <c r="J1" s="3">
        <f>COUNTIF(L3:L951,"=ASSOCIADO VOLUNTÁRIO")</f>
        <v>0</v>
      </c>
      <c r="K1" s="3"/>
      <c r="L1" s="3"/>
      <c r="M1" s="3"/>
    </row>
    <row r="2">
      <c r="A2" s="2" t="s">
        <v>0</v>
      </c>
      <c r="B2" s="4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15</v>
      </c>
      <c r="M2" s="2" t="s">
        <v>16</v>
      </c>
    </row>
    <row r="3">
      <c r="A3" s="5">
        <v>100041.0</v>
      </c>
      <c r="B3" s="23" t="s">
        <v>42</v>
      </c>
      <c r="C3" s="25" t="s">
        <v>45</v>
      </c>
      <c r="D3" s="27">
        <v>28628.0</v>
      </c>
      <c r="E3" s="28">
        <v>8.3166556168E10</v>
      </c>
      <c r="F3" s="30" t="s">
        <v>23</v>
      </c>
      <c r="G3" s="28" t="s">
        <v>51</v>
      </c>
      <c r="H3" s="30" t="s">
        <v>55</v>
      </c>
      <c r="I3" s="30">
        <v>6.5984542677E10</v>
      </c>
      <c r="J3" s="30" t="s">
        <v>58</v>
      </c>
      <c r="K3" s="30" t="s">
        <v>61</v>
      </c>
      <c r="L3" s="30" t="s">
        <v>41</v>
      </c>
      <c r="M3" s="32" t="s">
        <v>65</v>
      </c>
    </row>
    <row r="4">
      <c r="A4" s="33">
        <v>100034.0</v>
      </c>
      <c r="B4" s="23" t="s">
        <v>42</v>
      </c>
      <c r="C4" s="35" t="s">
        <v>69</v>
      </c>
      <c r="D4" s="36">
        <v>35240.0</v>
      </c>
      <c r="E4" s="38">
        <v>1.1212287479E10</v>
      </c>
      <c r="F4" s="39" t="s">
        <v>23</v>
      </c>
      <c r="G4" s="39" t="s">
        <v>73</v>
      </c>
      <c r="H4" s="39" t="s">
        <v>75</v>
      </c>
      <c r="I4" s="38">
        <v>8.191071812E9</v>
      </c>
      <c r="J4" s="38" t="s">
        <v>77</v>
      </c>
      <c r="K4" s="38" t="s">
        <v>61</v>
      </c>
      <c r="L4" s="39" t="s">
        <v>41</v>
      </c>
      <c r="M4" s="38" t="s">
        <v>81</v>
      </c>
    </row>
    <row r="5">
      <c r="A5" s="28">
        <v>100037.0</v>
      </c>
      <c r="B5" s="7" t="s">
        <v>42</v>
      </c>
      <c r="C5" s="25" t="s">
        <v>83</v>
      </c>
      <c r="D5" s="27">
        <v>33543.0</v>
      </c>
      <c r="E5" s="28">
        <v>1.1027905404E10</v>
      </c>
      <c r="F5" s="30" t="s">
        <v>50</v>
      </c>
      <c r="G5" s="28" t="s">
        <v>86</v>
      </c>
      <c r="H5" s="30" t="s">
        <v>75</v>
      </c>
      <c r="I5" s="28">
        <v>8.198440741E10</v>
      </c>
      <c r="J5" s="28" t="s">
        <v>89</v>
      </c>
      <c r="K5" s="16" t="s">
        <v>29</v>
      </c>
      <c r="L5" s="30" t="s">
        <v>33</v>
      </c>
      <c r="M5" s="30" t="s">
        <v>91</v>
      </c>
    </row>
    <row r="6">
      <c r="A6" s="16">
        <v>100049.0</v>
      </c>
      <c r="B6" s="7" t="s">
        <v>42</v>
      </c>
      <c r="C6" s="28" t="s">
        <v>92</v>
      </c>
      <c r="D6" s="27">
        <v>33916.0</v>
      </c>
      <c r="E6" s="28">
        <v>8.5191132068E10</v>
      </c>
      <c r="F6" s="30" t="s">
        <v>23</v>
      </c>
      <c r="G6" s="28" t="s">
        <v>93</v>
      </c>
      <c r="H6" s="30" t="s">
        <v>25</v>
      </c>
      <c r="I6" s="28">
        <v>5.1985027443E10</v>
      </c>
      <c r="J6" s="28" t="s">
        <v>96</v>
      </c>
      <c r="K6" s="28" t="s">
        <v>61</v>
      </c>
      <c r="L6" s="30" t="s">
        <v>41</v>
      </c>
      <c r="M6" s="28" t="s">
        <v>98</v>
      </c>
    </row>
    <row r="7">
      <c r="A7" s="28">
        <v>100038.0</v>
      </c>
      <c r="B7" s="7" t="s">
        <v>42</v>
      </c>
      <c r="C7" s="25" t="s">
        <v>99</v>
      </c>
      <c r="D7" s="27">
        <v>31327.0</v>
      </c>
      <c r="E7" s="29" t="s">
        <v>101</v>
      </c>
      <c r="F7" s="30" t="s">
        <v>23</v>
      </c>
      <c r="G7" s="28" t="s">
        <v>102</v>
      </c>
      <c r="H7" s="30" t="s">
        <v>25</v>
      </c>
      <c r="I7" s="28" t="s">
        <v>103</v>
      </c>
      <c r="J7" s="28" t="s">
        <v>104</v>
      </c>
      <c r="K7" s="41" t="s">
        <v>29</v>
      </c>
      <c r="L7" s="30" t="s">
        <v>41</v>
      </c>
      <c r="M7" s="28" t="s">
        <v>88</v>
      </c>
    </row>
    <row r="8">
      <c r="A8" s="16">
        <v>100046.0</v>
      </c>
      <c r="B8" s="7" t="s">
        <v>42</v>
      </c>
      <c r="C8" s="28" t="s">
        <v>105</v>
      </c>
      <c r="D8" s="27">
        <v>33513.0</v>
      </c>
      <c r="E8" s="29" t="s">
        <v>107</v>
      </c>
      <c r="F8" s="30" t="s">
        <v>23</v>
      </c>
      <c r="G8" s="28" t="s">
        <v>108</v>
      </c>
      <c r="H8" s="30" t="s">
        <v>74</v>
      </c>
      <c r="I8" s="28">
        <v>6.1981479052E10</v>
      </c>
      <c r="J8" s="28" t="s">
        <v>110</v>
      </c>
      <c r="K8" s="28" t="s">
        <v>111</v>
      </c>
      <c r="L8" s="30" t="s">
        <v>41</v>
      </c>
      <c r="M8" s="28" t="s">
        <v>113</v>
      </c>
    </row>
    <row r="9">
      <c r="A9" s="57"/>
      <c r="B9" s="58" t="s">
        <v>42</v>
      </c>
      <c r="C9" s="59" t="s">
        <v>118</v>
      </c>
      <c r="D9" s="20">
        <v>35030.0</v>
      </c>
      <c r="E9" s="60" t="s">
        <v>120</v>
      </c>
      <c r="F9" s="61" t="s">
        <v>23</v>
      </c>
      <c r="G9" s="60" t="s">
        <v>123</v>
      </c>
      <c r="H9" s="22" t="s">
        <v>124</v>
      </c>
      <c r="I9" s="22" t="s">
        <v>125</v>
      </c>
      <c r="J9" s="60"/>
      <c r="K9" s="60"/>
      <c r="L9" s="61" t="s">
        <v>33</v>
      </c>
    </row>
    <row r="10">
      <c r="B10" s="58" t="s">
        <v>42</v>
      </c>
      <c r="C10" s="59" t="s">
        <v>127</v>
      </c>
      <c r="D10" s="65">
        <v>33690.0</v>
      </c>
      <c r="E10" s="61" t="s">
        <v>128</v>
      </c>
      <c r="F10" s="61" t="s">
        <v>23</v>
      </c>
      <c r="G10" s="61" t="s">
        <v>129</v>
      </c>
      <c r="H10" s="22" t="s">
        <v>130</v>
      </c>
      <c r="I10" s="61" t="s">
        <v>131</v>
      </c>
      <c r="J10" s="70"/>
      <c r="K10" s="70"/>
      <c r="L10" s="61" t="s">
        <v>41</v>
      </c>
      <c r="M10" s="70"/>
    </row>
    <row r="11">
      <c r="B11" s="58" t="s">
        <v>42</v>
      </c>
      <c r="C11" s="71" t="s">
        <v>133</v>
      </c>
      <c r="D11" s="72">
        <v>33131.0</v>
      </c>
      <c r="E11" s="71" t="s">
        <v>135</v>
      </c>
      <c r="F11" s="61" t="s">
        <v>23</v>
      </c>
      <c r="G11" s="32" t="s">
        <v>115</v>
      </c>
      <c r="H11" s="22" t="s">
        <v>116</v>
      </c>
      <c r="I11" s="73" t="s">
        <v>137</v>
      </c>
      <c r="J11" s="73" t="s">
        <v>138</v>
      </c>
      <c r="L11" s="61" t="s">
        <v>41</v>
      </c>
    </row>
    <row r="12">
      <c r="B12" s="58" t="s">
        <v>42</v>
      </c>
      <c r="C12" s="73" t="s">
        <v>142</v>
      </c>
      <c r="D12" s="27">
        <v>33608.0</v>
      </c>
      <c r="E12" s="28" t="s">
        <v>143</v>
      </c>
      <c r="F12" s="30" t="s">
        <v>23</v>
      </c>
      <c r="G12" s="30" t="s">
        <v>108</v>
      </c>
      <c r="H12" s="30" t="s">
        <v>74</v>
      </c>
      <c r="I12" s="28">
        <v>6.1993779162E10</v>
      </c>
      <c r="J12" s="28" t="s">
        <v>145</v>
      </c>
      <c r="K12" s="28" t="s">
        <v>111</v>
      </c>
      <c r="L12" s="30" t="s">
        <v>41</v>
      </c>
      <c r="M12" s="76" t="s">
        <v>148</v>
      </c>
    </row>
    <row r="13">
      <c r="B13" s="58" t="s">
        <v>42</v>
      </c>
      <c r="C13" s="73" t="s">
        <v>151</v>
      </c>
      <c r="D13" s="77">
        <v>33717.0</v>
      </c>
      <c r="E13" s="78" t="s">
        <v>156</v>
      </c>
      <c r="F13" s="30" t="s">
        <v>50</v>
      </c>
      <c r="G13" s="30" t="s">
        <v>159</v>
      </c>
      <c r="H13" s="30" t="s">
        <v>74</v>
      </c>
      <c r="I13" s="28" t="s">
        <v>161</v>
      </c>
      <c r="J13" s="30" t="s">
        <v>162</v>
      </c>
      <c r="K13" s="30" t="s">
        <v>164</v>
      </c>
      <c r="L13" s="30" t="s">
        <v>41</v>
      </c>
      <c r="M13" s="80" t="s">
        <v>113</v>
      </c>
      <c r="N13" s="81"/>
    </row>
    <row r="22">
      <c r="D22" s="83"/>
      <c r="E22" s="85"/>
      <c r="F22" s="86"/>
      <c r="G22" s="86"/>
      <c r="H22" s="86"/>
      <c r="I22" s="87"/>
      <c r="J22" s="86"/>
      <c r="K22" s="86"/>
      <c r="L22" s="86"/>
      <c r="M22" s="86"/>
      <c r="N22" s="81"/>
    </row>
  </sheetData>
  <conditionalFormatting sqref="B1:B13">
    <cfRule type="containsText" dxfId="0" priority="1" operator="containsText" text="INADIMPLENTE">
      <formula>NOT(ISERROR(SEARCH(("INADIMPLENTE"),(B1))))</formula>
    </cfRule>
  </conditionalFormatting>
  <conditionalFormatting sqref="B1:B13">
    <cfRule type="containsText" dxfId="1" priority="2" operator="containsText" text="ADIMPLENTE">
      <formula>NOT(ISERROR(SEARCH(("ADIMPLENTE"),(B1))))</formula>
    </cfRule>
  </conditionalFormatting>
  <conditionalFormatting sqref="B1:B13">
    <cfRule type="containsText" dxfId="2" priority="3" operator="containsText" text="NÃO CONCLUIU">
      <formula>NOT(ISERROR(SEARCH(("NÃO CONCLUIU"),(B1))))</formula>
    </cfRule>
  </conditionalFormatting>
  <conditionalFormatting sqref="B1:B13">
    <cfRule type="containsText" dxfId="3" priority="4" operator="containsText" text="VOLUNTÁRIE">
      <formula>NOT(ISERROR(SEARCH(("VOLUNTÁRIE"),(B1))))</formula>
    </cfRule>
  </conditionalFormatting>
  <conditionalFormatting sqref="B1:B13">
    <cfRule type="containsText" dxfId="2" priority="5" operator="containsText" text="FALTA PAGAMENTO">
      <formula>NOT(ISERROR(SEARCH(("FALTA PAGAMENTO"),(B1))))</formula>
    </cfRule>
  </conditionalFormatting>
  <dataValidations>
    <dataValidation type="list" allowBlank="1" sqref="L3:L13">
      <formula1>"ASSOCIADO PLENO,ASSOCIADO JÚNIOR,ASSOCIADO VOLUNTÁRIO"</formula1>
    </dataValidation>
    <dataValidation type="list" allowBlank="1" sqref="F3:F13 F22">
      <formula1>"FEMININO,MASCULINO"</formula1>
    </dataValidation>
    <dataValidation type="list" allowBlank="1" showErrorMessage="1" sqref="H3:H11">
      <formula1>"RS,AC,DF,MG,SC,BA,RJ,AM,SP,RN,UK,MT,PA,PE,CE,PR,MA,GO,PA - Pará,RR"</formula1>
    </dataValidation>
    <dataValidation type="list" allowBlank="1" showErrorMessage="1" sqref="H12:H13">
      <formula1>"RS,AC,DF,MG,SC,BA,RJ,AM,SP,RN,UK,MT,PA,PE,CE,PR,MA,GO,RR,PA"</formula1>
    </dataValidation>
    <dataValidation type="list" allowBlank="1" sqref="B3:B13">
      <formula1>"ADIMPLENTE,INADIMPLENTE,FALTA PAGAMENTO,NÃO CONCLUIU,VOLUNTÁRIE"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45.13"/>
    <col customWidth="1" min="2" max="2" width="45.13"/>
    <col customWidth="1" min="3" max="3" width="73.88"/>
    <col customWidth="1" min="4" max="4" width="23.0"/>
    <col customWidth="1" min="5" max="5" width="21.5"/>
    <col customWidth="1" min="7" max="7" width="22.75"/>
    <col customWidth="1" min="9" max="9" width="30.5"/>
    <col customWidth="1" min="10" max="10" width="30.0"/>
    <col customWidth="1" min="11" max="11" width="24.13"/>
  </cols>
  <sheetData>
    <row r="1">
      <c r="A1" s="2" t="s">
        <v>0</v>
      </c>
      <c r="B1" s="4"/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10</v>
      </c>
      <c r="J1" s="2" t="s">
        <v>11</v>
      </c>
      <c r="K1" s="4" t="s">
        <v>14</v>
      </c>
    </row>
    <row r="2">
      <c r="A2" s="5">
        <v>100063.0</v>
      </c>
      <c r="B2" s="7" t="s">
        <v>18</v>
      </c>
      <c r="C2" s="9" t="s">
        <v>20</v>
      </c>
      <c r="D2" s="11">
        <v>34984.0</v>
      </c>
      <c r="E2" s="13" t="s">
        <v>22</v>
      </c>
      <c r="F2" s="16" t="s">
        <v>23</v>
      </c>
      <c r="G2" s="9" t="s">
        <v>26</v>
      </c>
      <c r="H2" s="16" t="s">
        <v>28</v>
      </c>
      <c r="I2" s="9" t="s">
        <v>30</v>
      </c>
      <c r="J2" s="9">
        <v>7.19991462772E11</v>
      </c>
      <c r="K2" s="16" t="s">
        <v>33</v>
      </c>
    </row>
    <row r="3">
      <c r="A3" s="5">
        <v>100057.0</v>
      </c>
      <c r="B3" s="7" t="s">
        <v>18</v>
      </c>
      <c r="C3" s="9" t="s">
        <v>35</v>
      </c>
      <c r="D3" s="20">
        <v>33075.0</v>
      </c>
      <c r="E3" s="21" t="s">
        <v>37</v>
      </c>
      <c r="F3" s="16" t="s">
        <v>23</v>
      </c>
      <c r="G3" s="22" t="s">
        <v>40</v>
      </c>
      <c r="H3" s="16" t="s">
        <v>25</v>
      </c>
      <c r="I3" s="22" t="s">
        <v>44</v>
      </c>
      <c r="J3" s="22">
        <v>5.1985231333E10</v>
      </c>
      <c r="K3" s="16" t="s">
        <v>33</v>
      </c>
      <c r="L3" s="26"/>
      <c r="M3" s="26"/>
    </row>
    <row r="4">
      <c r="A4" s="5">
        <v>100065.0</v>
      </c>
      <c r="B4" s="7" t="s">
        <v>18</v>
      </c>
      <c r="C4" s="9" t="s">
        <v>49</v>
      </c>
      <c r="D4" s="20">
        <v>32823.0</v>
      </c>
      <c r="E4" s="21" t="s">
        <v>60</v>
      </c>
      <c r="F4" s="16" t="s">
        <v>23</v>
      </c>
      <c r="G4" s="9" t="s">
        <v>63</v>
      </c>
      <c r="H4" s="16" t="s">
        <v>66</v>
      </c>
      <c r="I4" s="9" t="s">
        <v>67</v>
      </c>
      <c r="J4" s="9" t="s">
        <v>68</v>
      </c>
      <c r="K4" s="16" t="s">
        <v>41</v>
      </c>
    </row>
    <row r="5">
      <c r="A5" s="34">
        <v>100066.0</v>
      </c>
      <c r="B5" s="7" t="s">
        <v>18</v>
      </c>
      <c r="C5" s="9" t="s">
        <v>70</v>
      </c>
      <c r="D5" s="37">
        <v>32747.0</v>
      </c>
      <c r="E5" s="9" t="s">
        <v>71</v>
      </c>
      <c r="F5" s="16" t="s">
        <v>50</v>
      </c>
      <c r="G5" s="9" t="s">
        <v>72</v>
      </c>
      <c r="H5" s="41" t="s">
        <v>74</v>
      </c>
      <c r="I5" s="42"/>
      <c r="J5" s="9" t="s">
        <v>79</v>
      </c>
      <c r="K5" s="16" t="s">
        <v>41</v>
      </c>
    </row>
    <row r="6">
      <c r="A6" s="44">
        <v>100016.0</v>
      </c>
      <c r="B6" s="7" t="s">
        <v>18</v>
      </c>
      <c r="C6" s="9" t="s">
        <v>82</v>
      </c>
      <c r="D6" s="45"/>
      <c r="E6" s="42"/>
      <c r="F6" s="16" t="s">
        <v>50</v>
      </c>
      <c r="G6" s="45"/>
      <c r="H6" s="16" t="s">
        <v>87</v>
      </c>
      <c r="I6" s="42"/>
      <c r="J6" s="42"/>
      <c r="K6" s="16" t="s">
        <v>41</v>
      </c>
    </row>
    <row r="7">
      <c r="A7" s="46">
        <v>100021.0</v>
      </c>
      <c r="B7" s="7" t="s">
        <v>18</v>
      </c>
      <c r="C7" s="9" t="s">
        <v>90</v>
      </c>
      <c r="D7" s="45"/>
      <c r="E7" s="42"/>
      <c r="F7" s="16" t="s">
        <v>50</v>
      </c>
      <c r="G7" s="45"/>
      <c r="H7" s="16" t="s">
        <v>87</v>
      </c>
      <c r="I7" s="42"/>
      <c r="J7" s="42"/>
      <c r="K7" s="16" t="s">
        <v>41</v>
      </c>
    </row>
    <row r="8">
      <c r="A8" s="48">
        <v>100029.0</v>
      </c>
      <c r="B8" s="7" t="s">
        <v>18</v>
      </c>
      <c r="C8" s="9" t="s">
        <v>94</v>
      </c>
      <c r="D8" s="37">
        <v>29252.0</v>
      </c>
      <c r="E8" s="9" t="s">
        <v>95</v>
      </c>
      <c r="F8" s="16" t="s">
        <v>23</v>
      </c>
      <c r="G8" s="9" t="s">
        <v>72</v>
      </c>
      <c r="H8" s="41" t="s">
        <v>74</v>
      </c>
      <c r="I8" s="42"/>
      <c r="J8" s="9" t="s">
        <v>97</v>
      </c>
      <c r="K8" s="16" t="s">
        <v>41</v>
      </c>
    </row>
    <row r="9">
      <c r="A9" s="48">
        <v>100052.0</v>
      </c>
      <c r="B9" s="7" t="s">
        <v>18</v>
      </c>
      <c r="C9" s="9" t="s">
        <v>100</v>
      </c>
      <c r="D9" s="45"/>
      <c r="E9" s="42"/>
      <c r="F9" s="16" t="s">
        <v>50</v>
      </c>
      <c r="G9" s="45"/>
      <c r="H9" s="16" t="s">
        <v>87</v>
      </c>
      <c r="I9" s="42"/>
      <c r="J9" s="42"/>
      <c r="K9" s="16" t="s">
        <v>41</v>
      </c>
    </row>
    <row r="10">
      <c r="A10" s="48">
        <v>100032.0</v>
      </c>
      <c r="B10" s="7" t="s">
        <v>18</v>
      </c>
      <c r="C10" s="9" t="s">
        <v>106</v>
      </c>
      <c r="D10" s="45"/>
      <c r="E10" s="42"/>
      <c r="F10" s="16" t="s">
        <v>50</v>
      </c>
      <c r="G10" s="45"/>
      <c r="H10" s="16" t="s">
        <v>87</v>
      </c>
      <c r="I10" s="42"/>
      <c r="J10" s="42"/>
      <c r="K10" s="16" t="s">
        <v>41</v>
      </c>
    </row>
    <row r="11">
      <c r="A11" s="48">
        <v>100026.0</v>
      </c>
      <c r="B11" s="7" t="s">
        <v>18</v>
      </c>
      <c r="C11" s="9" t="s">
        <v>112</v>
      </c>
      <c r="D11" s="45"/>
      <c r="E11" s="42"/>
      <c r="F11" s="16" t="s">
        <v>23</v>
      </c>
      <c r="G11" s="45"/>
      <c r="H11" s="16" t="s">
        <v>87</v>
      </c>
      <c r="I11" s="42"/>
      <c r="J11" s="42"/>
      <c r="K11" s="16" t="s">
        <v>41</v>
      </c>
    </row>
    <row r="12">
      <c r="A12" s="9">
        <v>100035.0</v>
      </c>
      <c r="B12" s="7" t="s">
        <v>18</v>
      </c>
      <c r="C12" s="9" t="s">
        <v>117</v>
      </c>
      <c r="D12" s="45"/>
      <c r="E12" s="42"/>
      <c r="F12" s="16" t="s">
        <v>23</v>
      </c>
      <c r="G12" s="45"/>
      <c r="H12" s="16" t="s">
        <v>87</v>
      </c>
      <c r="I12" s="42"/>
      <c r="J12" s="42"/>
      <c r="K12" s="16" t="s">
        <v>41</v>
      </c>
    </row>
    <row r="13">
      <c r="A13" s="9">
        <v>100060.0</v>
      </c>
      <c r="B13" s="7" t="s">
        <v>18</v>
      </c>
      <c r="C13" s="9" t="s">
        <v>122</v>
      </c>
      <c r="D13" s="42"/>
      <c r="E13" s="42"/>
      <c r="F13" s="16" t="s">
        <v>50</v>
      </c>
      <c r="G13" s="45"/>
      <c r="H13" s="16" t="s">
        <v>87</v>
      </c>
      <c r="I13" s="42"/>
      <c r="J13" s="42"/>
      <c r="K13" s="16" t="s">
        <v>41</v>
      </c>
    </row>
    <row r="14">
      <c r="A14" s="9">
        <v>100010.0</v>
      </c>
      <c r="B14" s="7" t="s">
        <v>18</v>
      </c>
      <c r="C14" s="9" t="s">
        <v>126</v>
      </c>
      <c r="D14" s="42"/>
      <c r="E14" s="42"/>
      <c r="F14" s="16" t="s">
        <v>23</v>
      </c>
      <c r="G14" s="45"/>
      <c r="H14" s="16" t="s">
        <v>87</v>
      </c>
      <c r="I14" s="42"/>
      <c r="J14" s="42"/>
      <c r="K14" s="16" t="s">
        <v>41</v>
      </c>
    </row>
    <row r="15">
      <c r="A15" s="9">
        <v>100039.0</v>
      </c>
      <c r="B15" s="7" t="s">
        <v>18</v>
      </c>
      <c r="C15" s="9" t="s">
        <v>132</v>
      </c>
      <c r="D15" s="37">
        <v>25327.0</v>
      </c>
      <c r="E15" s="9" t="s">
        <v>134</v>
      </c>
      <c r="F15" s="16" t="s">
        <v>50</v>
      </c>
      <c r="G15" s="9" t="s">
        <v>136</v>
      </c>
      <c r="H15" s="16" t="s">
        <v>139</v>
      </c>
      <c r="I15" s="42"/>
      <c r="J15" s="9" t="s">
        <v>140</v>
      </c>
      <c r="K15" s="16" t="s">
        <v>41</v>
      </c>
    </row>
    <row r="16">
      <c r="A16" s="9">
        <v>100059.0</v>
      </c>
      <c r="B16" s="7" t="s">
        <v>18</v>
      </c>
      <c r="C16" s="9" t="s">
        <v>141</v>
      </c>
      <c r="D16" s="42"/>
      <c r="E16" s="42"/>
      <c r="F16" s="16" t="s">
        <v>50</v>
      </c>
      <c r="G16" s="45"/>
      <c r="H16" s="16" t="s">
        <v>87</v>
      </c>
      <c r="I16" s="42"/>
      <c r="J16" s="42"/>
      <c r="K16" s="16" t="s">
        <v>41</v>
      </c>
    </row>
    <row r="17">
      <c r="A17" s="9">
        <v>100006.0</v>
      </c>
      <c r="B17" s="7" t="s">
        <v>18</v>
      </c>
      <c r="C17" s="9" t="s">
        <v>146</v>
      </c>
      <c r="D17" s="11">
        <v>33893.0</v>
      </c>
      <c r="E17" s="9">
        <v>3.624697177E10</v>
      </c>
      <c r="F17" s="16" t="s">
        <v>23</v>
      </c>
      <c r="G17" s="9" t="s">
        <v>150</v>
      </c>
      <c r="H17" s="16" t="s">
        <v>74</v>
      </c>
      <c r="I17" s="9" t="s">
        <v>152</v>
      </c>
      <c r="J17" s="9" t="s">
        <v>154</v>
      </c>
      <c r="K17" s="16" t="s">
        <v>41</v>
      </c>
    </row>
    <row r="18">
      <c r="A18" s="9">
        <v>100047.0</v>
      </c>
      <c r="B18" s="7" t="s">
        <v>18</v>
      </c>
      <c r="C18" s="9" t="s">
        <v>158</v>
      </c>
      <c r="D18" s="37">
        <v>34572.0</v>
      </c>
      <c r="E18" s="13" t="s">
        <v>160</v>
      </c>
      <c r="F18" s="16" t="s">
        <v>50</v>
      </c>
      <c r="G18" s="9" t="s">
        <v>163</v>
      </c>
      <c r="H18" s="16" t="s">
        <v>75</v>
      </c>
      <c r="I18" s="9" t="s">
        <v>165</v>
      </c>
      <c r="J18" s="9" t="s">
        <v>166</v>
      </c>
      <c r="K18" s="16" t="s">
        <v>41</v>
      </c>
    </row>
    <row r="19">
      <c r="A19" s="44">
        <v>100031.0</v>
      </c>
      <c r="B19" s="7" t="s">
        <v>18</v>
      </c>
      <c r="C19" s="82" t="s">
        <v>167</v>
      </c>
      <c r="D19" s="72">
        <v>28327.0</v>
      </c>
      <c r="E19" s="71">
        <v>8.2881502172E10</v>
      </c>
      <c r="F19" s="16" t="s">
        <v>23</v>
      </c>
      <c r="G19" s="9" t="s">
        <v>108</v>
      </c>
      <c r="H19" s="16" t="s">
        <v>74</v>
      </c>
      <c r="I19" s="88" t="s">
        <v>168</v>
      </c>
      <c r="J19" s="9">
        <v>3.51937082855E11</v>
      </c>
      <c r="K19" s="16" t="s">
        <v>41</v>
      </c>
    </row>
    <row r="20">
      <c r="A20" s="44">
        <v>100036.0</v>
      </c>
      <c r="B20" s="7" t="s">
        <v>18</v>
      </c>
      <c r="C20" s="82" t="s">
        <v>169</v>
      </c>
      <c r="D20" s="37">
        <v>35304.0</v>
      </c>
      <c r="E20" s="9">
        <v>4.0830375805E10</v>
      </c>
      <c r="F20" s="16" t="s">
        <v>23</v>
      </c>
      <c r="G20" s="9" t="s">
        <v>170</v>
      </c>
      <c r="H20" s="16" t="s">
        <v>172</v>
      </c>
      <c r="I20" s="9" t="s">
        <v>173</v>
      </c>
      <c r="J20" s="9" t="s">
        <v>174</v>
      </c>
      <c r="K20" s="16" t="s">
        <v>41</v>
      </c>
    </row>
    <row r="21">
      <c r="A21" s="44">
        <v>100043.0</v>
      </c>
      <c r="B21" s="7" t="s">
        <v>18</v>
      </c>
      <c r="C21" s="82" t="s">
        <v>176</v>
      </c>
      <c r="D21" s="20">
        <v>33299.0</v>
      </c>
      <c r="E21" s="21" t="s">
        <v>177</v>
      </c>
      <c r="F21" s="16" t="s">
        <v>23</v>
      </c>
      <c r="G21" s="9" t="s">
        <v>180</v>
      </c>
      <c r="H21" s="16" t="s">
        <v>74</v>
      </c>
      <c r="I21" s="9" t="s">
        <v>181</v>
      </c>
      <c r="J21" s="9">
        <v>6.19821878E10</v>
      </c>
      <c r="K21" s="16" t="s">
        <v>41</v>
      </c>
    </row>
    <row r="22">
      <c r="A22" s="44">
        <v>100028.0</v>
      </c>
      <c r="B22" s="7" t="s">
        <v>18</v>
      </c>
      <c r="C22" s="82" t="s">
        <v>182</v>
      </c>
      <c r="D22" s="20">
        <v>33190.0</v>
      </c>
      <c r="E22" s="21" t="s">
        <v>183</v>
      </c>
      <c r="F22" s="16" t="s">
        <v>23</v>
      </c>
      <c r="G22" s="9" t="s">
        <v>184</v>
      </c>
      <c r="H22" s="16" t="s">
        <v>185</v>
      </c>
      <c r="I22" s="9" t="s">
        <v>186</v>
      </c>
      <c r="J22" s="9" t="s">
        <v>187</v>
      </c>
      <c r="K22" s="16" t="s">
        <v>41</v>
      </c>
    </row>
    <row r="23" ht="13.5" customHeight="1">
      <c r="A23" s="44">
        <v>100058.0</v>
      </c>
      <c r="B23" s="7" t="s">
        <v>18</v>
      </c>
      <c r="C23" s="89" t="s">
        <v>188</v>
      </c>
      <c r="D23" s="42"/>
      <c r="E23" s="42"/>
      <c r="F23" s="16" t="s">
        <v>23</v>
      </c>
      <c r="G23" s="42"/>
      <c r="H23" s="16" t="s">
        <v>87</v>
      </c>
      <c r="I23" s="42"/>
      <c r="J23" s="42"/>
      <c r="K23" s="16" t="s">
        <v>41</v>
      </c>
    </row>
    <row r="24">
      <c r="A24" s="44">
        <v>100044.0</v>
      </c>
      <c r="B24" s="7" t="s">
        <v>18</v>
      </c>
      <c r="C24" s="82" t="s">
        <v>193</v>
      </c>
      <c r="D24" s="20">
        <v>34615.0</v>
      </c>
      <c r="E24" s="21" t="s">
        <v>195</v>
      </c>
      <c r="F24" s="16" t="s">
        <v>23</v>
      </c>
      <c r="G24" s="9" t="s">
        <v>108</v>
      </c>
      <c r="H24" s="16" t="s">
        <v>74</v>
      </c>
      <c r="I24" s="9" t="s">
        <v>201</v>
      </c>
      <c r="J24" s="9" t="s">
        <v>202</v>
      </c>
      <c r="K24" s="16" t="s">
        <v>41</v>
      </c>
    </row>
    <row r="25">
      <c r="A25" s="44">
        <v>100004.0</v>
      </c>
      <c r="B25" s="7" t="s">
        <v>18</v>
      </c>
      <c r="C25" s="82" t="s">
        <v>207</v>
      </c>
      <c r="D25" s="20">
        <v>34332.0</v>
      </c>
      <c r="E25" s="21" t="s">
        <v>210</v>
      </c>
      <c r="F25" s="16" t="s">
        <v>50</v>
      </c>
      <c r="G25" s="9" t="s">
        <v>108</v>
      </c>
      <c r="H25" s="16" t="s">
        <v>74</v>
      </c>
      <c r="I25" s="9" t="s">
        <v>211</v>
      </c>
      <c r="J25" s="9" t="s">
        <v>212</v>
      </c>
      <c r="K25" s="16" t="s">
        <v>41</v>
      </c>
    </row>
    <row r="26">
      <c r="A26" s="44">
        <v>100002.0</v>
      </c>
      <c r="B26" s="7" t="s">
        <v>18</v>
      </c>
      <c r="C26" s="82" t="s">
        <v>214</v>
      </c>
      <c r="D26" s="20">
        <v>33886.0</v>
      </c>
      <c r="E26" s="21" t="s">
        <v>215</v>
      </c>
      <c r="F26" s="16" t="s">
        <v>50</v>
      </c>
      <c r="G26" s="9" t="s">
        <v>108</v>
      </c>
      <c r="H26" s="16" t="s">
        <v>74</v>
      </c>
      <c r="I26" s="9" t="s">
        <v>218</v>
      </c>
      <c r="J26" s="9" t="s">
        <v>219</v>
      </c>
      <c r="K26" s="16" t="s">
        <v>41</v>
      </c>
    </row>
    <row r="27">
      <c r="A27" s="44">
        <v>100013.0</v>
      </c>
      <c r="B27" s="7" t="s">
        <v>18</v>
      </c>
      <c r="C27" s="9" t="s">
        <v>220</v>
      </c>
      <c r="D27" s="20">
        <v>34592.0</v>
      </c>
      <c r="E27" s="21" t="s">
        <v>221</v>
      </c>
      <c r="F27" s="16" t="s">
        <v>23</v>
      </c>
      <c r="G27" s="9" t="s">
        <v>40</v>
      </c>
      <c r="H27" s="16" t="s">
        <v>25</v>
      </c>
      <c r="I27" s="9" t="s">
        <v>223</v>
      </c>
      <c r="J27" s="9" t="s">
        <v>224</v>
      </c>
      <c r="K27" s="16" t="s">
        <v>41</v>
      </c>
    </row>
    <row r="28">
      <c r="A28" s="44">
        <v>100033.0</v>
      </c>
      <c r="B28" s="7" t="s">
        <v>18</v>
      </c>
      <c r="C28" s="9" t="s">
        <v>226</v>
      </c>
      <c r="D28" s="20">
        <v>34908.0</v>
      </c>
      <c r="E28" s="21" t="s">
        <v>228</v>
      </c>
      <c r="F28" s="16" t="s">
        <v>50</v>
      </c>
      <c r="G28" s="9" t="s">
        <v>229</v>
      </c>
      <c r="H28" s="16" t="s">
        <v>55</v>
      </c>
      <c r="I28" s="9" t="s">
        <v>231</v>
      </c>
      <c r="J28" s="9" t="s">
        <v>233</v>
      </c>
      <c r="K28" s="16" t="s">
        <v>41</v>
      </c>
    </row>
    <row r="29">
      <c r="A29" s="44">
        <v>100050.0</v>
      </c>
      <c r="B29" s="7" t="s">
        <v>18</v>
      </c>
      <c r="C29" s="9" t="s">
        <v>235</v>
      </c>
      <c r="D29" s="20">
        <v>32984.0</v>
      </c>
      <c r="E29" s="21" t="s">
        <v>236</v>
      </c>
      <c r="F29" s="16" t="s">
        <v>23</v>
      </c>
      <c r="G29" s="9" t="s">
        <v>239</v>
      </c>
      <c r="H29" s="16" t="s">
        <v>74</v>
      </c>
      <c r="I29" s="9" t="s">
        <v>240</v>
      </c>
      <c r="J29" s="45">
        <f>556199598917</f>
        <v>556199598917</v>
      </c>
      <c r="K29" s="16" t="s">
        <v>41</v>
      </c>
    </row>
    <row r="30">
      <c r="A30" s="44">
        <v>100017.0</v>
      </c>
      <c r="B30" s="7" t="s">
        <v>18</v>
      </c>
      <c r="C30" s="9" t="s">
        <v>244</v>
      </c>
      <c r="D30" s="20">
        <v>33560.0</v>
      </c>
      <c r="E30" s="21" t="s">
        <v>245</v>
      </c>
      <c r="F30" s="16" t="s">
        <v>23</v>
      </c>
      <c r="G30" s="9" t="s">
        <v>159</v>
      </c>
      <c r="H30" s="16" t="s">
        <v>74</v>
      </c>
      <c r="I30" s="9" t="s">
        <v>246</v>
      </c>
      <c r="J30" s="9" t="s">
        <v>247</v>
      </c>
      <c r="K30" s="16" t="s">
        <v>41</v>
      </c>
    </row>
    <row r="31">
      <c r="A31" s="44">
        <v>100030.0</v>
      </c>
      <c r="B31" s="7" t="s">
        <v>18</v>
      </c>
      <c r="C31" s="9" t="s">
        <v>248</v>
      </c>
      <c r="D31" s="37">
        <v>28557.0</v>
      </c>
      <c r="E31" s="9">
        <v>5.8244042249E10</v>
      </c>
      <c r="F31" s="16" t="s">
        <v>50</v>
      </c>
      <c r="G31" s="9" t="s">
        <v>249</v>
      </c>
      <c r="H31" s="16" t="s">
        <v>38</v>
      </c>
      <c r="I31" s="9" t="s">
        <v>250</v>
      </c>
      <c r="J31" s="9" t="s">
        <v>251</v>
      </c>
      <c r="K31" s="16" t="s">
        <v>41</v>
      </c>
    </row>
    <row r="32">
      <c r="A32" s="44">
        <v>100056.0</v>
      </c>
      <c r="B32" s="7" t="s">
        <v>18</v>
      </c>
      <c r="C32" s="9" t="s">
        <v>252</v>
      </c>
      <c r="D32" s="20"/>
      <c r="E32" s="60"/>
      <c r="F32" s="16" t="s">
        <v>23</v>
      </c>
      <c r="G32" s="42"/>
      <c r="H32" s="16" t="s">
        <v>74</v>
      </c>
      <c r="I32" s="42"/>
      <c r="J32" s="42"/>
      <c r="K32" s="16" t="s">
        <v>41</v>
      </c>
    </row>
    <row r="33">
      <c r="A33" s="97">
        <v>100055.0</v>
      </c>
      <c r="B33" s="7" t="s">
        <v>18</v>
      </c>
      <c r="C33" s="9" t="s">
        <v>253</v>
      </c>
      <c r="D33" s="20">
        <v>20428.0</v>
      </c>
      <c r="E33" s="60">
        <v>9.1770050825E10</v>
      </c>
      <c r="F33" s="16" t="s">
        <v>50</v>
      </c>
      <c r="G33" s="9" t="s">
        <v>254</v>
      </c>
      <c r="H33" s="16" t="s">
        <v>172</v>
      </c>
      <c r="I33" s="9" t="s">
        <v>255</v>
      </c>
      <c r="J33" s="9" t="s">
        <v>256</v>
      </c>
      <c r="K33" s="16" t="s">
        <v>41</v>
      </c>
    </row>
    <row r="34">
      <c r="A34" s="97">
        <v>100008.0</v>
      </c>
      <c r="B34" s="7" t="s">
        <v>18</v>
      </c>
      <c r="C34" s="9" t="s">
        <v>257</v>
      </c>
      <c r="D34" s="20">
        <v>33356.0</v>
      </c>
      <c r="E34" s="21" t="s">
        <v>258</v>
      </c>
      <c r="F34" s="16" t="s">
        <v>23</v>
      </c>
      <c r="G34" s="9" t="s">
        <v>149</v>
      </c>
      <c r="H34" s="16" t="s">
        <v>74</v>
      </c>
      <c r="I34" s="9" t="s">
        <v>261</v>
      </c>
      <c r="J34" s="9" t="s">
        <v>262</v>
      </c>
      <c r="K34" s="16" t="s">
        <v>41</v>
      </c>
    </row>
    <row r="35">
      <c r="A35" s="97">
        <v>100054.0</v>
      </c>
      <c r="B35" s="7" t="s">
        <v>18</v>
      </c>
      <c r="C35" s="9" t="s">
        <v>105</v>
      </c>
      <c r="D35" s="20">
        <v>33513.0</v>
      </c>
      <c r="E35" s="21" t="s">
        <v>107</v>
      </c>
      <c r="F35" s="16" t="s">
        <v>23</v>
      </c>
      <c r="G35" s="9" t="s">
        <v>108</v>
      </c>
      <c r="H35" s="16" t="s">
        <v>74</v>
      </c>
      <c r="I35" s="9" t="s">
        <v>110</v>
      </c>
      <c r="J35" s="9" t="s">
        <v>264</v>
      </c>
      <c r="K35" s="16" t="s">
        <v>41</v>
      </c>
    </row>
    <row r="36">
      <c r="A36" s="97">
        <v>100007.0</v>
      </c>
      <c r="B36" s="7" t="s">
        <v>18</v>
      </c>
      <c r="C36" s="9" t="s">
        <v>265</v>
      </c>
      <c r="D36" s="20">
        <v>33596.0</v>
      </c>
      <c r="E36" s="21" t="s">
        <v>266</v>
      </c>
      <c r="F36" s="16" t="s">
        <v>50</v>
      </c>
      <c r="G36" s="9" t="s">
        <v>267</v>
      </c>
      <c r="H36" s="16" t="s">
        <v>74</v>
      </c>
      <c r="I36" s="9" t="s">
        <v>268</v>
      </c>
      <c r="J36" s="9" t="s">
        <v>269</v>
      </c>
      <c r="K36" s="16" t="s">
        <v>41</v>
      </c>
    </row>
    <row r="37">
      <c r="A37" s="97">
        <v>100018.0</v>
      </c>
      <c r="B37" s="7" t="s">
        <v>18</v>
      </c>
      <c r="C37" s="9" t="s">
        <v>270</v>
      </c>
      <c r="D37" s="20">
        <v>34356.0</v>
      </c>
      <c r="E37" s="21" t="s">
        <v>271</v>
      </c>
      <c r="F37" s="16" t="s">
        <v>23</v>
      </c>
      <c r="G37" s="9" t="s">
        <v>108</v>
      </c>
      <c r="H37" s="16" t="s">
        <v>74</v>
      </c>
      <c r="I37" s="9" t="s">
        <v>272</v>
      </c>
      <c r="J37" s="9" t="s">
        <v>273</v>
      </c>
      <c r="K37" s="16" t="s">
        <v>41</v>
      </c>
    </row>
    <row r="38">
      <c r="A38" s="97">
        <v>100024.0</v>
      </c>
      <c r="B38" s="7" t="s">
        <v>18</v>
      </c>
      <c r="C38" s="9" t="s">
        <v>274</v>
      </c>
      <c r="D38" s="20">
        <v>34419.0</v>
      </c>
      <c r="E38" s="21" t="s">
        <v>275</v>
      </c>
      <c r="F38" s="16" t="s">
        <v>23</v>
      </c>
      <c r="G38" s="9" t="s">
        <v>276</v>
      </c>
      <c r="H38" s="16" t="s">
        <v>74</v>
      </c>
      <c r="I38" s="9" t="s">
        <v>277</v>
      </c>
      <c r="J38" s="9" t="s">
        <v>278</v>
      </c>
      <c r="K38" s="16" t="s">
        <v>41</v>
      </c>
    </row>
    <row r="39">
      <c r="A39" s="44">
        <v>100020.0</v>
      </c>
      <c r="B39" s="7" t="s">
        <v>18</v>
      </c>
      <c r="C39" s="82" t="s">
        <v>279</v>
      </c>
      <c r="D39" s="20">
        <v>34178.0</v>
      </c>
      <c r="E39" s="21" t="s">
        <v>280</v>
      </c>
      <c r="F39" s="16" t="s">
        <v>23</v>
      </c>
      <c r="G39" s="42"/>
      <c r="H39" s="16" t="s">
        <v>87</v>
      </c>
      <c r="I39" s="9" t="s">
        <v>282</v>
      </c>
      <c r="J39" s="9" t="s">
        <v>284</v>
      </c>
      <c r="K39" s="16" t="s">
        <v>41</v>
      </c>
    </row>
    <row r="40">
      <c r="A40" s="44">
        <v>100053.0</v>
      </c>
      <c r="B40" s="7" t="s">
        <v>18</v>
      </c>
      <c r="C40" s="82" t="s">
        <v>285</v>
      </c>
      <c r="D40" s="20">
        <v>33704.0</v>
      </c>
      <c r="E40" s="60">
        <v>3.8334370814E10</v>
      </c>
      <c r="F40" s="16" t="s">
        <v>50</v>
      </c>
      <c r="G40" s="98" t="s">
        <v>287</v>
      </c>
      <c r="H40" s="16" t="s">
        <v>38</v>
      </c>
      <c r="I40" s="9" t="s">
        <v>289</v>
      </c>
      <c r="J40" s="9" t="s">
        <v>290</v>
      </c>
      <c r="K40" s="16" t="s">
        <v>41</v>
      </c>
    </row>
    <row r="41">
      <c r="A41" s="99">
        <v>100040.0</v>
      </c>
      <c r="B41" s="7" t="s">
        <v>18</v>
      </c>
      <c r="C41" s="25" t="s">
        <v>291</v>
      </c>
      <c r="D41" s="27">
        <v>34208.0</v>
      </c>
      <c r="E41" s="29" t="s">
        <v>292</v>
      </c>
      <c r="F41" s="16" t="s">
        <v>23</v>
      </c>
      <c r="G41" s="30" t="s">
        <v>293</v>
      </c>
      <c r="H41" s="16" t="s">
        <v>294</v>
      </c>
      <c r="I41" s="28" t="s">
        <v>295</v>
      </c>
      <c r="J41" s="28" t="s">
        <v>296</v>
      </c>
      <c r="K41" s="16" t="s">
        <v>41</v>
      </c>
    </row>
    <row r="42">
      <c r="A42" s="100">
        <v>100068.0</v>
      </c>
      <c r="B42" s="58" t="s">
        <v>18</v>
      </c>
      <c r="C42" s="22" t="s">
        <v>297</v>
      </c>
      <c r="D42" s="20">
        <v>35152.0</v>
      </c>
      <c r="E42" s="60" t="s">
        <v>298</v>
      </c>
      <c r="F42" s="61" t="s">
        <v>23</v>
      </c>
      <c r="G42" s="61" t="s">
        <v>159</v>
      </c>
      <c r="H42" s="61" t="s">
        <v>74</v>
      </c>
      <c r="I42" s="61" t="s">
        <v>299</v>
      </c>
      <c r="J42" s="61" t="s">
        <v>301</v>
      </c>
      <c r="K42" s="61" t="s">
        <v>164</v>
      </c>
      <c r="L42" s="61" t="s">
        <v>41</v>
      </c>
      <c r="M42" s="61" t="s">
        <v>113</v>
      </c>
    </row>
  </sheetData>
  <conditionalFormatting sqref="B1:B42 C1">
    <cfRule type="containsText" dxfId="0" priority="1" operator="containsText" text="INADIMPLENTE">
      <formula>NOT(ISERROR(SEARCH(("INADIMPLENTE"),(B1))))</formula>
    </cfRule>
  </conditionalFormatting>
  <conditionalFormatting sqref="B1:B42 C1">
    <cfRule type="containsText" dxfId="1" priority="2" operator="containsText" text="ADIMPLENTE">
      <formula>NOT(ISERROR(SEARCH(("ADIMPLENTE"),(B1))))</formula>
    </cfRule>
  </conditionalFormatting>
  <conditionalFormatting sqref="B1:B42 C1">
    <cfRule type="containsText" dxfId="2" priority="3" operator="containsText" text="NÃO CONCLUIU">
      <formula>NOT(ISERROR(SEARCH(("NÃO CONCLUIU"),(B1))))</formula>
    </cfRule>
  </conditionalFormatting>
  <conditionalFormatting sqref="B1:B42 C1">
    <cfRule type="containsText" dxfId="3" priority="4" operator="containsText" text="VOLUNTÁRIE">
      <formula>NOT(ISERROR(SEARCH(("VOLUNTÁRIE"),(B1))))</formula>
    </cfRule>
  </conditionalFormatting>
  <conditionalFormatting sqref="B1:B42 C1">
    <cfRule type="containsText" dxfId="2" priority="5" operator="containsText" text="FALTA PAGAMENTO">
      <formula>NOT(ISERROR(SEARCH(("FALTA PAGAMENTO"),(B1))))</formula>
    </cfRule>
  </conditionalFormatting>
  <dataValidations>
    <dataValidation type="list" allowBlank="1" sqref="K2:K41 L42">
      <formula1>"ASSOCIADO PLENO,ASSOCIADO JÚNIOR,ASSOCIADO VOLUNTÁRIO"</formula1>
    </dataValidation>
    <dataValidation type="list" allowBlank="1" sqref="F2:F42">
      <formula1>"FEMININO,MASCULINO"</formula1>
    </dataValidation>
    <dataValidation type="list" allowBlank="1" showErrorMessage="1" sqref="H42">
      <formula1>"RS,AC,DF,MG,SC,BA,RJ,AM,SP,RN,UK,MT,PA,PE,CE,PR,MA,GO,RR,PA"</formula1>
    </dataValidation>
    <dataValidation type="list" allowBlank="1" showErrorMessage="1" sqref="H2:H41">
      <formula1>"RS,AC,DF,MG,SC,BA,RJ,AM,SP,RN,UK,MT,PA,PE,CE,PR,MA,GO,PA - Pará,RR,N/A"</formula1>
    </dataValidation>
    <dataValidation type="list" allowBlank="1" sqref="B2:B42">
      <formula1>"ADIMPLENTE,INADIMPLENTE,FALTA PAGAMENTO,NÃO CONCLUIU,VOLUNTÁRIE"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49.25"/>
    <col customWidth="1" min="3" max="3" width="19.75"/>
    <col customWidth="1" min="4" max="4" width="17.5"/>
    <col customWidth="1" min="5" max="5" width="15.25"/>
    <col customWidth="1" min="6" max="6" width="24.88"/>
    <col customWidth="1" min="8" max="8" width="24.13"/>
    <col customWidth="1" min="9" max="9" width="44.75"/>
    <col customWidth="1" min="10" max="10" width="13.5"/>
    <col customWidth="1" min="11" max="11" width="30.75"/>
    <col customWidth="1" min="12" max="12" width="66.75"/>
  </cols>
  <sheetData>
    <row r="1">
      <c r="A1" s="4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12</v>
      </c>
      <c r="J1" s="2" t="s">
        <v>13</v>
      </c>
      <c r="K1" s="2" t="s">
        <v>15</v>
      </c>
      <c r="L1" s="2" t="s">
        <v>16</v>
      </c>
    </row>
    <row r="2">
      <c r="A2" s="6" t="s">
        <v>17</v>
      </c>
      <c r="B2" s="8" t="s">
        <v>19</v>
      </c>
      <c r="C2" s="10">
        <v>20870.0</v>
      </c>
      <c r="D2" s="12">
        <v>2.209251001E10</v>
      </c>
      <c r="E2" s="14" t="s">
        <v>23</v>
      </c>
      <c r="F2" s="12" t="s">
        <v>24</v>
      </c>
      <c r="G2" s="12" t="s">
        <v>25</v>
      </c>
      <c r="H2" s="12">
        <v>5.1999857751E10</v>
      </c>
      <c r="I2" s="12" t="s">
        <v>27</v>
      </c>
      <c r="J2" s="12" t="s">
        <v>29</v>
      </c>
      <c r="K2" s="14" t="s">
        <v>31</v>
      </c>
      <c r="L2" s="14" t="s">
        <v>32</v>
      </c>
    </row>
    <row r="3">
      <c r="A3" s="6" t="s">
        <v>17</v>
      </c>
      <c r="B3" s="8" t="s">
        <v>34</v>
      </c>
      <c r="C3" s="10">
        <v>30756.0</v>
      </c>
      <c r="D3" s="12">
        <v>7.6118550263E10</v>
      </c>
      <c r="E3" s="14" t="s">
        <v>23</v>
      </c>
      <c r="F3" s="12" t="s">
        <v>36</v>
      </c>
      <c r="G3" s="12" t="s">
        <v>38</v>
      </c>
      <c r="H3" s="12">
        <v>9.2991830362E10</v>
      </c>
      <c r="I3" s="12" t="s">
        <v>39</v>
      </c>
      <c r="J3" s="12" t="s">
        <v>29</v>
      </c>
      <c r="K3" s="14" t="s">
        <v>41</v>
      </c>
      <c r="L3" s="14" t="s">
        <v>43</v>
      </c>
      <c r="M3" s="24"/>
    </row>
    <row r="4">
      <c r="A4" s="7" t="s">
        <v>17</v>
      </c>
      <c r="B4" s="25" t="s">
        <v>46</v>
      </c>
      <c r="C4" s="27">
        <v>32260.0</v>
      </c>
      <c r="D4" s="29" t="s">
        <v>47</v>
      </c>
      <c r="E4" s="30" t="s">
        <v>50</v>
      </c>
      <c r="F4" s="28" t="s">
        <v>53</v>
      </c>
      <c r="G4" s="30" t="s">
        <v>25</v>
      </c>
      <c r="H4" s="28">
        <v>5.1997175983E10</v>
      </c>
      <c r="I4" s="28" t="s">
        <v>59</v>
      </c>
      <c r="J4" s="28" t="s">
        <v>29</v>
      </c>
      <c r="K4" s="30" t="s">
        <v>41</v>
      </c>
      <c r="L4" s="28" t="s">
        <v>64</v>
      </c>
    </row>
  </sheetData>
  <conditionalFormatting sqref="A1:A4 B3">
    <cfRule type="containsText" dxfId="0" priority="1" operator="containsText" text="INADIMPLENTE">
      <formula>NOT(ISERROR(SEARCH(("INADIMPLENTE"),(A1))))</formula>
    </cfRule>
  </conditionalFormatting>
  <conditionalFormatting sqref="A1:A4 B3">
    <cfRule type="containsText" dxfId="1" priority="2" operator="containsText" text="ADIMPLENTE">
      <formula>NOT(ISERROR(SEARCH(("ADIMPLENTE"),(A1))))</formula>
    </cfRule>
  </conditionalFormatting>
  <conditionalFormatting sqref="A1:A4 B3">
    <cfRule type="containsText" dxfId="2" priority="3" operator="containsText" text="NÃO CONCLUIU">
      <formula>NOT(ISERROR(SEARCH(("NÃO CONCLUIU"),(A1))))</formula>
    </cfRule>
  </conditionalFormatting>
  <conditionalFormatting sqref="A1:A4 B3">
    <cfRule type="containsText" dxfId="3" priority="4" operator="containsText" text="VOLUNTÁRIE">
      <formula>NOT(ISERROR(SEARCH(("VOLUNTÁRIE"),(A1))))</formula>
    </cfRule>
  </conditionalFormatting>
  <conditionalFormatting sqref="A1:A4 B3">
    <cfRule type="containsText" dxfId="2" priority="5" operator="containsText" text="FALTA PAGAMENTO">
      <formula>NOT(ISERROR(SEARCH(("FALTA PAGAMENTO"),(A1))))</formula>
    </cfRule>
  </conditionalFormatting>
  <dataValidations>
    <dataValidation type="list" allowBlank="1" sqref="K2:K4">
      <formula1>"ASSOCIADO PLENO,ASSOCIADO JÚNIOR,ASSOCIADO VOLUNTÁRIO"</formula1>
    </dataValidation>
    <dataValidation type="list" allowBlank="1" sqref="E2:E4">
      <formula1>"FEMININO,MASCULINO"</formula1>
    </dataValidation>
    <dataValidation type="list" allowBlank="1" showErrorMessage="1" sqref="G2:G4">
      <formula1>"RS,AC,DF,MG,SC,BA,RJ,AM,SP,RN,UK,MT,PA,PE,CE,PR,MA,GO,PA - Pará,RR"</formula1>
    </dataValidation>
    <dataValidation type="list" allowBlank="1" sqref="A2:A4">
      <formula1>"ADIMPLENTE,INADIMPLENTE,FALTA PAGAMENTO,NÃO CONCLUIU,VOLUNTÁRIE"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8.5"/>
    <col customWidth="1" min="3" max="3" width="40.13"/>
    <col customWidth="1" min="10" max="10" width="27.75"/>
    <col customWidth="1" min="11" max="11" width="28.88"/>
    <col customWidth="1" min="12" max="12" width="27.88"/>
    <col customWidth="1" min="13" max="13" width="45.25"/>
  </cols>
  <sheetData>
    <row r="1">
      <c r="A1" s="2" t="s">
        <v>0</v>
      </c>
      <c r="B1" s="4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11</v>
      </c>
      <c r="J1" s="2" t="s">
        <v>12</v>
      </c>
      <c r="K1" s="2" t="s">
        <v>13</v>
      </c>
      <c r="L1" s="2" t="s">
        <v>15</v>
      </c>
      <c r="M1" s="2" t="s">
        <v>16</v>
      </c>
    </row>
    <row r="2">
      <c r="A2" s="14">
        <v>120006.0</v>
      </c>
      <c r="B2" s="7" t="s">
        <v>190</v>
      </c>
      <c r="C2" s="25" t="s">
        <v>191</v>
      </c>
      <c r="D2" s="27">
        <v>30015.0</v>
      </c>
      <c r="E2" s="29" t="s">
        <v>194</v>
      </c>
      <c r="F2" s="30" t="s">
        <v>23</v>
      </c>
      <c r="G2" s="28" t="s">
        <v>196</v>
      </c>
      <c r="H2" s="30" t="s">
        <v>124</v>
      </c>
      <c r="I2" s="28">
        <v>9.498131472E10</v>
      </c>
      <c r="J2" s="28" t="s">
        <v>197</v>
      </c>
      <c r="K2" s="28" t="s">
        <v>179</v>
      </c>
      <c r="L2" s="30" t="s">
        <v>31</v>
      </c>
      <c r="M2" s="30" t="s">
        <v>200</v>
      </c>
      <c r="N2" s="47">
        <v>43949.0</v>
      </c>
    </row>
    <row r="3">
      <c r="A3" s="14">
        <v>120004.0</v>
      </c>
      <c r="B3" s="7" t="s">
        <v>190</v>
      </c>
      <c r="C3" s="25" t="s">
        <v>204</v>
      </c>
      <c r="D3" s="27">
        <v>34020.0</v>
      </c>
      <c r="E3" s="29" t="s">
        <v>205</v>
      </c>
      <c r="F3" s="30" t="s">
        <v>23</v>
      </c>
      <c r="G3" s="30" t="s">
        <v>206</v>
      </c>
      <c r="H3" s="30" t="s">
        <v>208</v>
      </c>
      <c r="I3" s="28">
        <v>8.5994106454E10</v>
      </c>
      <c r="J3" s="28" t="s">
        <v>209</v>
      </c>
      <c r="K3" s="28" t="s">
        <v>61</v>
      </c>
      <c r="L3" s="30" t="s">
        <v>31</v>
      </c>
      <c r="M3" s="30" t="s">
        <v>87</v>
      </c>
    </row>
    <row r="4">
      <c r="A4" s="14">
        <v>120007.0</v>
      </c>
      <c r="B4" s="7" t="s">
        <v>190</v>
      </c>
      <c r="C4" s="25" t="s">
        <v>213</v>
      </c>
      <c r="D4" s="27">
        <v>28852.0</v>
      </c>
      <c r="E4" s="28">
        <v>5.1994810297E10</v>
      </c>
      <c r="F4" s="30" t="s">
        <v>23</v>
      </c>
      <c r="G4" s="28" t="s">
        <v>216</v>
      </c>
      <c r="H4" s="30" t="s">
        <v>124</v>
      </c>
      <c r="I4" s="28">
        <v>9.1982399796E10</v>
      </c>
      <c r="J4" s="28" t="s">
        <v>217</v>
      </c>
      <c r="K4" s="28" t="s">
        <v>29</v>
      </c>
      <c r="L4" s="30" t="s">
        <v>31</v>
      </c>
    </row>
    <row r="5">
      <c r="A5" s="91">
        <v>120001.0</v>
      </c>
      <c r="B5" s="7" t="s">
        <v>190</v>
      </c>
      <c r="C5" s="92" t="s">
        <v>222</v>
      </c>
      <c r="D5" s="77">
        <v>25099.0</v>
      </c>
      <c r="E5" s="93" t="s">
        <v>225</v>
      </c>
      <c r="F5" s="94" t="s">
        <v>23</v>
      </c>
      <c r="G5" s="93" t="s">
        <v>93</v>
      </c>
      <c r="H5" s="93" t="s">
        <v>25</v>
      </c>
      <c r="I5" s="93"/>
      <c r="J5" s="93"/>
      <c r="K5" s="95"/>
      <c r="L5" s="94" t="s">
        <v>31</v>
      </c>
    </row>
    <row r="6">
      <c r="A6" s="25"/>
      <c r="B6" s="7" t="s">
        <v>190</v>
      </c>
      <c r="C6" s="28" t="s">
        <v>237</v>
      </c>
      <c r="D6" s="96">
        <v>33532.0</v>
      </c>
      <c r="E6" s="28" t="s">
        <v>225</v>
      </c>
      <c r="F6" s="30" t="s">
        <v>23</v>
      </c>
      <c r="G6" s="28" t="s">
        <v>241</v>
      </c>
      <c r="H6" s="28" t="s">
        <v>38</v>
      </c>
      <c r="I6" s="28">
        <v>9.3991356166E10</v>
      </c>
      <c r="J6" s="28" t="s">
        <v>242</v>
      </c>
      <c r="K6" s="28" t="s">
        <v>29</v>
      </c>
      <c r="L6" s="30" t="s">
        <v>41</v>
      </c>
      <c r="M6" s="28" t="s">
        <v>243</v>
      </c>
    </row>
  </sheetData>
  <conditionalFormatting sqref="B1:B6">
    <cfRule type="containsText" dxfId="0" priority="1" operator="containsText" text="INADIMPLENTE">
      <formula>NOT(ISERROR(SEARCH(("INADIMPLENTE"),(B1))))</formula>
    </cfRule>
  </conditionalFormatting>
  <conditionalFormatting sqref="B1:B6">
    <cfRule type="containsText" dxfId="1" priority="2" operator="containsText" text="ADIMPLENTE">
      <formula>NOT(ISERROR(SEARCH(("ADIMPLENTE"),(B1))))</formula>
    </cfRule>
  </conditionalFormatting>
  <conditionalFormatting sqref="B1:B6">
    <cfRule type="containsText" dxfId="2" priority="3" operator="containsText" text="NÃO CONCLUIU">
      <formula>NOT(ISERROR(SEARCH(("NÃO CONCLUIU"),(B1))))</formula>
    </cfRule>
  </conditionalFormatting>
  <conditionalFormatting sqref="B1:B6">
    <cfRule type="containsText" dxfId="3" priority="4" operator="containsText" text="VOLUNTÁRIE">
      <formula>NOT(ISERROR(SEARCH(("VOLUNTÁRIE"),(B1))))</formula>
    </cfRule>
  </conditionalFormatting>
  <conditionalFormatting sqref="B1:B6">
    <cfRule type="containsText" dxfId="2" priority="5" operator="containsText" text="FALTA PAGAMENTO">
      <formula>NOT(ISERROR(SEARCH(("FALTA PAGAMENTO"),(B1))))</formula>
    </cfRule>
  </conditionalFormatting>
  <dataValidations>
    <dataValidation type="list" allowBlank="1" sqref="L2:L6">
      <formula1>"ASSOCIADO PLENO,ASSOCIADO JÚNIOR,ASSOCIADO VOLUNTÁRIO"</formula1>
    </dataValidation>
    <dataValidation type="list" allowBlank="1" sqref="F2:F6">
      <formula1>"FEMININO,MASCULINO"</formula1>
    </dataValidation>
    <dataValidation type="list" allowBlank="1" showErrorMessage="1" sqref="H2:H6">
      <formula1>"RS,AC,DF,MG,SC,BA,RJ,AM,SP,RN,UK,MT,PA,PE,CE,PR,MA,GO,PA - Pará,RR"</formula1>
    </dataValidation>
    <dataValidation type="list" allowBlank="1" sqref="B2:B6">
      <formula1>"ADIMPLENTE,INADIMPLENTE,FALTA PAGAMENTO,NÃO CONCLUIU,VOLUNTÁRIE"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3" max="3" width="33.25"/>
    <col customWidth="1" min="4" max="4" width="19.63"/>
    <col customWidth="1" min="13" max="13" width="28.63"/>
  </cols>
  <sheetData>
    <row r="1">
      <c r="A1" s="1"/>
      <c r="B1" s="1"/>
      <c r="C1" s="3"/>
      <c r="D1" s="1"/>
      <c r="E1" s="3"/>
      <c r="F1" s="3"/>
      <c r="G1" s="1"/>
      <c r="H1" s="3"/>
      <c r="I1" s="1"/>
      <c r="J1" s="3"/>
      <c r="K1" s="3"/>
      <c r="L1" s="3"/>
      <c r="M1" s="3"/>
      <c r="N1" s="3"/>
      <c r="O1" s="3"/>
      <c r="P1" s="3"/>
      <c r="Q1" s="3"/>
      <c r="R1" s="3"/>
    </row>
    <row r="2">
      <c r="A2" s="2" t="s">
        <v>0</v>
      </c>
      <c r="B2" s="4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48</v>
      </c>
      <c r="O2" s="2" t="s">
        <v>52</v>
      </c>
      <c r="P2" s="2" t="s">
        <v>54</v>
      </c>
      <c r="Q2" s="2" t="s">
        <v>56</v>
      </c>
      <c r="R2" s="2" t="s">
        <v>57</v>
      </c>
    </row>
    <row r="3">
      <c r="B3" s="101"/>
    </row>
  </sheetData>
  <conditionalFormatting sqref="O1:O2">
    <cfRule type="beginsWith" dxfId="4" priority="1" operator="beginsWith" text="-">
      <formula>LEFT((O1),LEN("-"))=("-")</formula>
    </cfRule>
  </conditionalFormatting>
  <conditionalFormatting sqref="B1:B3">
    <cfRule type="containsText" dxfId="0" priority="2" operator="containsText" text="INADIMPLENTE">
      <formula>NOT(ISERROR(SEARCH(("INADIMPLENTE"),(B1))))</formula>
    </cfRule>
  </conditionalFormatting>
  <conditionalFormatting sqref="B1:B3">
    <cfRule type="containsText" dxfId="1" priority="3" operator="containsText" text="ADIMPLENTE">
      <formula>NOT(ISERROR(SEARCH(("ADIMPLENTE"),(B1))))</formula>
    </cfRule>
  </conditionalFormatting>
  <conditionalFormatting sqref="B1:B3">
    <cfRule type="containsText" dxfId="2" priority="4" operator="containsText" text="NÃO CONCLUIU">
      <formula>NOT(ISERROR(SEARCH(("NÃO CONCLUIU"),(B1))))</formula>
    </cfRule>
  </conditionalFormatting>
  <conditionalFormatting sqref="B1:B3">
    <cfRule type="containsText" dxfId="3" priority="5" operator="containsText" text="VOLUNTÁRIE">
      <formula>NOT(ISERROR(SEARCH(("VOLUNTÁRIE"),(B1))))</formula>
    </cfRule>
  </conditionalFormatting>
  <conditionalFormatting sqref="B1:B3">
    <cfRule type="containsText" dxfId="2" priority="6" operator="containsText" text="FALTA PAGAMENTO">
      <formula>NOT(ISERROR(SEARCH(("FALTA PAGAMENTO"),(B1))))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40.88"/>
    <col customWidth="1" min="3" max="3" width="29.13"/>
    <col customWidth="1" min="4" max="4" width="29.75"/>
    <col customWidth="1" min="5" max="5" width="31.0"/>
    <col customWidth="1" min="6" max="8" width="25.75"/>
  </cols>
  <sheetData>
    <row r="1" hidden="1">
      <c r="A1" s="104"/>
      <c r="B1" s="104"/>
      <c r="C1" s="104"/>
      <c r="D1" s="104"/>
      <c r="E1" s="73" t="s">
        <v>21</v>
      </c>
      <c r="F1" s="73">
        <v>90.0</v>
      </c>
      <c r="G1" s="73">
        <v>60.0</v>
      </c>
      <c r="H1" s="73">
        <v>30.0</v>
      </c>
    </row>
    <row r="2">
      <c r="A2" s="105" t="s">
        <v>0</v>
      </c>
      <c r="B2" s="105" t="s">
        <v>2</v>
      </c>
      <c r="C2" s="105" t="s">
        <v>14</v>
      </c>
      <c r="D2" s="105" t="s">
        <v>308</v>
      </c>
      <c r="E2" s="105" t="s">
        <v>52</v>
      </c>
      <c r="F2" s="105" t="s">
        <v>54</v>
      </c>
      <c r="G2" s="105" t="s">
        <v>56</v>
      </c>
      <c r="H2" s="105" t="s">
        <v>57</v>
      </c>
    </row>
    <row r="3">
      <c r="A3" s="108">
        <v>100001.0</v>
      </c>
      <c r="B3" s="110" t="s">
        <v>171</v>
      </c>
      <c r="C3" s="111" t="s">
        <v>310</v>
      </c>
      <c r="D3" s="113">
        <v>45217.0</v>
      </c>
      <c r="E3" s="45">
        <f t="shared" ref="E3:E9" si="1">D3-TODAY()</f>
        <v>-1026</v>
      </c>
      <c r="F3" s="114">
        <f t="shared" ref="F3:F9" si="2">D3-$F$1</f>
        <v>45127</v>
      </c>
      <c r="G3" s="114">
        <f t="shared" ref="G3:G9" si="3">D3-$G$1</f>
        <v>45157</v>
      </c>
      <c r="H3" s="114">
        <f t="shared" ref="H3:H9" si="4">D3-$H$1</f>
        <v>45187</v>
      </c>
    </row>
    <row r="4">
      <c r="A4" s="108">
        <v>100003.0</v>
      </c>
      <c r="B4" s="110" t="s">
        <v>312</v>
      </c>
      <c r="C4" s="111" t="s">
        <v>310</v>
      </c>
      <c r="D4" s="113">
        <v>46178.0</v>
      </c>
      <c r="E4" s="45">
        <f t="shared" si="1"/>
        <v>-65</v>
      </c>
      <c r="F4" s="114">
        <f t="shared" si="2"/>
        <v>46088</v>
      </c>
      <c r="G4" s="114">
        <f t="shared" si="3"/>
        <v>46118</v>
      </c>
      <c r="H4" s="114">
        <f t="shared" si="4"/>
        <v>46148</v>
      </c>
    </row>
    <row r="5">
      <c r="A5" s="108">
        <v>100006.0</v>
      </c>
      <c r="B5" s="110" t="s">
        <v>146</v>
      </c>
      <c r="C5" s="111" t="s">
        <v>310</v>
      </c>
      <c r="D5" s="113">
        <v>45217.0</v>
      </c>
      <c r="E5" s="45">
        <f t="shared" si="1"/>
        <v>-1026</v>
      </c>
      <c r="F5" s="114">
        <f t="shared" si="2"/>
        <v>45127</v>
      </c>
      <c r="G5" s="114">
        <f t="shared" si="3"/>
        <v>45157</v>
      </c>
      <c r="H5" s="114">
        <f t="shared" si="4"/>
        <v>45187</v>
      </c>
    </row>
    <row r="6">
      <c r="A6" s="108">
        <v>100012.0</v>
      </c>
      <c r="B6" s="110" t="s">
        <v>109</v>
      </c>
      <c r="C6" s="111" t="s">
        <v>310</v>
      </c>
      <c r="D6" s="113">
        <v>46374.0</v>
      </c>
      <c r="E6" s="45">
        <f t="shared" si="1"/>
        <v>131</v>
      </c>
      <c r="F6" s="114">
        <f t="shared" si="2"/>
        <v>46284</v>
      </c>
      <c r="G6" s="114">
        <f t="shared" si="3"/>
        <v>46314</v>
      </c>
      <c r="H6" s="114">
        <f t="shared" si="4"/>
        <v>46344</v>
      </c>
    </row>
    <row r="7">
      <c r="A7" s="108">
        <v>100014.0</v>
      </c>
      <c r="B7" s="110" t="s">
        <v>315</v>
      </c>
      <c r="C7" s="111" t="s">
        <v>310</v>
      </c>
      <c r="D7" s="113">
        <v>46365.0</v>
      </c>
      <c r="E7" s="45">
        <f t="shared" si="1"/>
        <v>122</v>
      </c>
      <c r="F7" s="114">
        <f t="shared" si="2"/>
        <v>46275</v>
      </c>
      <c r="G7" s="114">
        <f t="shared" si="3"/>
        <v>46305</v>
      </c>
      <c r="H7" s="114">
        <f t="shared" si="4"/>
        <v>46335</v>
      </c>
    </row>
    <row r="8">
      <c r="A8" s="108">
        <v>100022.0</v>
      </c>
      <c r="B8" s="110" t="s">
        <v>144</v>
      </c>
      <c r="C8" s="111" t="s">
        <v>310</v>
      </c>
      <c r="D8" s="113">
        <v>46197.0</v>
      </c>
      <c r="E8" s="45">
        <f t="shared" si="1"/>
        <v>-46</v>
      </c>
      <c r="F8" s="114">
        <f t="shared" si="2"/>
        <v>46107</v>
      </c>
      <c r="G8" s="114">
        <f t="shared" si="3"/>
        <v>46137</v>
      </c>
      <c r="H8" s="114">
        <f t="shared" si="4"/>
        <v>46167</v>
      </c>
    </row>
    <row r="9">
      <c r="A9" s="108">
        <v>100023.0</v>
      </c>
      <c r="B9" s="110" t="s">
        <v>319</v>
      </c>
      <c r="C9" s="111" t="s">
        <v>310</v>
      </c>
      <c r="D9" s="113">
        <v>45217.0</v>
      </c>
      <c r="E9" s="45">
        <f t="shared" si="1"/>
        <v>-1026</v>
      </c>
      <c r="F9" s="114">
        <f t="shared" si="2"/>
        <v>45127</v>
      </c>
      <c r="G9" s="114">
        <f t="shared" si="3"/>
        <v>45157</v>
      </c>
      <c r="H9" s="114">
        <f t="shared" si="4"/>
        <v>45187</v>
      </c>
    </row>
    <row r="10">
      <c r="A10" s="108">
        <v>100024.0</v>
      </c>
      <c r="B10" s="110" t="s">
        <v>321</v>
      </c>
      <c r="C10" s="111"/>
      <c r="D10" s="113"/>
      <c r="E10" s="45"/>
      <c r="F10" s="45"/>
      <c r="G10" s="45"/>
      <c r="H10" s="45"/>
    </row>
    <row r="11">
      <c r="A11" s="111">
        <v>100039.0</v>
      </c>
      <c r="B11" s="110" t="s">
        <v>132</v>
      </c>
      <c r="C11" s="111" t="s">
        <v>310</v>
      </c>
      <c r="D11" s="113">
        <v>45217.0</v>
      </c>
      <c r="E11" s="45">
        <f t="shared" ref="E11:E29" si="5">D11-TODAY()</f>
        <v>-1026</v>
      </c>
      <c r="F11" s="114">
        <f t="shared" ref="F11:F29" si="6">D11-$F$1</f>
        <v>45127</v>
      </c>
      <c r="G11" s="114">
        <f t="shared" ref="G11:G29" si="7">D11-$G$1</f>
        <v>45157</v>
      </c>
      <c r="H11" s="114">
        <f t="shared" ref="H11:H29" si="8">D11-$H$1</f>
        <v>45187</v>
      </c>
    </row>
    <row r="12">
      <c r="A12" s="111">
        <v>100040.0</v>
      </c>
      <c r="B12" s="110" t="s">
        <v>324</v>
      </c>
      <c r="C12" s="111" t="s">
        <v>310</v>
      </c>
      <c r="D12" s="113">
        <v>45217.0</v>
      </c>
      <c r="E12" s="45">
        <f t="shared" si="5"/>
        <v>-1026</v>
      </c>
      <c r="F12" s="114">
        <f t="shared" si="6"/>
        <v>45127</v>
      </c>
      <c r="G12" s="114">
        <f t="shared" si="7"/>
        <v>45157</v>
      </c>
      <c r="H12" s="114">
        <f t="shared" si="8"/>
        <v>45187</v>
      </c>
    </row>
    <row r="13">
      <c r="A13" s="116">
        <v>100042.0</v>
      </c>
      <c r="B13" s="110" t="s">
        <v>189</v>
      </c>
      <c r="C13" s="111" t="s">
        <v>310</v>
      </c>
      <c r="D13" s="113">
        <v>46187.0</v>
      </c>
      <c r="E13" s="45">
        <f t="shared" si="5"/>
        <v>-56</v>
      </c>
      <c r="F13" s="114">
        <f t="shared" si="6"/>
        <v>46097</v>
      </c>
      <c r="G13" s="114">
        <f t="shared" si="7"/>
        <v>46127</v>
      </c>
      <c r="H13" s="114">
        <f t="shared" si="8"/>
        <v>46157</v>
      </c>
    </row>
    <row r="14">
      <c r="A14" s="111">
        <v>100043.0</v>
      </c>
      <c r="B14" s="110" t="s">
        <v>176</v>
      </c>
      <c r="C14" s="111" t="s">
        <v>310</v>
      </c>
      <c r="D14" s="113">
        <v>45217.0</v>
      </c>
      <c r="E14" s="45">
        <f t="shared" si="5"/>
        <v>-1026</v>
      </c>
      <c r="F14" s="114">
        <f t="shared" si="6"/>
        <v>45127</v>
      </c>
      <c r="G14" s="114">
        <f t="shared" si="7"/>
        <v>45157</v>
      </c>
      <c r="H14" s="114">
        <f t="shared" si="8"/>
        <v>45187</v>
      </c>
    </row>
    <row r="15">
      <c r="A15" s="111">
        <v>100044.0</v>
      </c>
      <c r="B15" s="110" t="s">
        <v>193</v>
      </c>
      <c r="C15" s="111" t="s">
        <v>310</v>
      </c>
      <c r="D15" s="113">
        <v>45217.0</v>
      </c>
      <c r="E15" s="45">
        <f t="shared" si="5"/>
        <v>-1026</v>
      </c>
      <c r="F15" s="114">
        <f t="shared" si="6"/>
        <v>45127</v>
      </c>
      <c r="G15" s="114">
        <f t="shared" si="7"/>
        <v>45157</v>
      </c>
      <c r="H15" s="114">
        <f t="shared" si="8"/>
        <v>45187</v>
      </c>
    </row>
    <row r="16">
      <c r="A16" s="108">
        <v>100047.0</v>
      </c>
      <c r="B16" s="111" t="s">
        <v>158</v>
      </c>
      <c r="C16" s="111" t="s">
        <v>310</v>
      </c>
      <c r="D16" s="113">
        <v>45217.0</v>
      </c>
      <c r="E16" s="45">
        <f t="shared" si="5"/>
        <v>-1026</v>
      </c>
      <c r="F16" s="114">
        <f t="shared" si="6"/>
        <v>45127</v>
      </c>
      <c r="G16" s="114">
        <f t="shared" si="7"/>
        <v>45157</v>
      </c>
      <c r="H16" s="114">
        <f t="shared" si="8"/>
        <v>45187</v>
      </c>
    </row>
    <row r="17">
      <c r="A17" s="108">
        <v>100050.0</v>
      </c>
      <c r="B17" s="111" t="s">
        <v>327</v>
      </c>
      <c r="C17" s="111" t="s">
        <v>310</v>
      </c>
      <c r="D17" s="113">
        <v>44877.0</v>
      </c>
      <c r="E17" s="45">
        <f t="shared" si="5"/>
        <v>-1366</v>
      </c>
      <c r="F17" s="114">
        <f t="shared" si="6"/>
        <v>44787</v>
      </c>
      <c r="G17" s="114">
        <f t="shared" si="7"/>
        <v>44817</v>
      </c>
      <c r="H17" s="114">
        <f t="shared" si="8"/>
        <v>44847</v>
      </c>
    </row>
    <row r="18">
      <c r="A18" s="108">
        <v>100051.0</v>
      </c>
      <c r="B18" s="110" t="s">
        <v>142</v>
      </c>
      <c r="C18" s="111" t="s">
        <v>310</v>
      </c>
      <c r="D18" s="113">
        <v>46280.0</v>
      </c>
      <c r="E18" s="45">
        <f t="shared" si="5"/>
        <v>37</v>
      </c>
      <c r="F18" s="114">
        <f t="shared" si="6"/>
        <v>46190</v>
      </c>
      <c r="G18" s="114">
        <f t="shared" si="7"/>
        <v>46220</v>
      </c>
      <c r="H18" s="114">
        <f t="shared" si="8"/>
        <v>46250</v>
      </c>
    </row>
    <row r="19">
      <c r="A19" s="111">
        <v>100052.0</v>
      </c>
      <c r="B19" s="110" t="s">
        <v>329</v>
      </c>
      <c r="C19" s="111" t="s">
        <v>330</v>
      </c>
      <c r="D19" s="118">
        <v>44936.0</v>
      </c>
      <c r="E19" s="45">
        <f t="shared" si="5"/>
        <v>-1307</v>
      </c>
      <c r="F19" s="119">
        <f t="shared" si="6"/>
        <v>44846</v>
      </c>
      <c r="G19" s="119">
        <f t="shared" si="7"/>
        <v>44876</v>
      </c>
      <c r="H19" s="119">
        <f t="shared" si="8"/>
        <v>44906</v>
      </c>
    </row>
    <row r="20">
      <c r="A20" s="108">
        <v>100053.0</v>
      </c>
      <c r="B20" s="110" t="s">
        <v>285</v>
      </c>
      <c r="C20" s="111" t="s">
        <v>310</v>
      </c>
      <c r="D20" s="118">
        <v>45087.0</v>
      </c>
      <c r="E20" s="45">
        <f t="shared" si="5"/>
        <v>-1156</v>
      </c>
      <c r="F20" s="119">
        <f t="shared" si="6"/>
        <v>44997</v>
      </c>
      <c r="G20" s="119">
        <f t="shared" si="7"/>
        <v>45027</v>
      </c>
      <c r="H20" s="119">
        <f t="shared" si="8"/>
        <v>45057</v>
      </c>
    </row>
    <row r="21">
      <c r="A21" s="108">
        <v>100054.0</v>
      </c>
      <c r="B21" s="110" t="s">
        <v>335</v>
      </c>
      <c r="C21" s="111" t="s">
        <v>310</v>
      </c>
      <c r="D21" s="118">
        <v>45087.0</v>
      </c>
      <c r="E21" s="45">
        <f t="shared" si="5"/>
        <v>-1156</v>
      </c>
      <c r="F21" s="119">
        <f t="shared" si="6"/>
        <v>44997</v>
      </c>
      <c r="G21" s="119">
        <f t="shared" si="7"/>
        <v>45027</v>
      </c>
      <c r="H21" s="119">
        <f t="shared" si="8"/>
        <v>45057</v>
      </c>
    </row>
    <row r="22">
      <c r="A22" s="108">
        <v>100055.0</v>
      </c>
      <c r="B22" s="110" t="s">
        <v>253</v>
      </c>
      <c r="C22" s="111" t="s">
        <v>310</v>
      </c>
      <c r="D22" s="118">
        <v>45155.0</v>
      </c>
      <c r="E22" s="45">
        <f t="shared" si="5"/>
        <v>-1088</v>
      </c>
      <c r="F22" s="119">
        <f t="shared" si="6"/>
        <v>45065</v>
      </c>
      <c r="G22" s="119">
        <f t="shared" si="7"/>
        <v>45095</v>
      </c>
      <c r="H22" s="119">
        <f t="shared" si="8"/>
        <v>45125</v>
      </c>
    </row>
    <row r="23">
      <c r="A23" s="108">
        <v>100056.0</v>
      </c>
      <c r="B23" s="110" t="s">
        <v>252</v>
      </c>
      <c r="C23" s="111" t="s">
        <v>310</v>
      </c>
      <c r="D23" s="113">
        <v>45217.0</v>
      </c>
      <c r="E23" s="120">
        <f t="shared" si="5"/>
        <v>-1026</v>
      </c>
      <c r="F23" s="121">
        <f t="shared" si="6"/>
        <v>45127</v>
      </c>
      <c r="G23" s="121">
        <f t="shared" si="7"/>
        <v>45157</v>
      </c>
      <c r="H23" s="121">
        <f t="shared" si="8"/>
        <v>45187</v>
      </c>
    </row>
    <row r="24">
      <c r="A24" s="108">
        <v>100057.0</v>
      </c>
      <c r="B24" s="110" t="s">
        <v>339</v>
      </c>
      <c r="C24" s="111" t="s">
        <v>330</v>
      </c>
      <c r="D24" s="113">
        <v>45217.0</v>
      </c>
      <c r="E24" s="120">
        <f t="shared" si="5"/>
        <v>-1026</v>
      </c>
      <c r="F24" s="121">
        <f t="shared" si="6"/>
        <v>45127</v>
      </c>
      <c r="G24" s="121">
        <f t="shared" si="7"/>
        <v>45157</v>
      </c>
      <c r="H24" s="121">
        <f t="shared" si="8"/>
        <v>45187</v>
      </c>
    </row>
    <row r="25">
      <c r="A25" s="108">
        <v>100058.0</v>
      </c>
      <c r="B25" s="110" t="s">
        <v>188</v>
      </c>
      <c r="C25" s="111" t="s">
        <v>310</v>
      </c>
      <c r="D25" s="113">
        <v>45218.0</v>
      </c>
      <c r="E25" s="120">
        <f t="shared" si="5"/>
        <v>-1025</v>
      </c>
      <c r="F25" s="121">
        <f t="shared" si="6"/>
        <v>45128</v>
      </c>
      <c r="G25" s="121">
        <f t="shared" si="7"/>
        <v>45158</v>
      </c>
      <c r="H25" s="121">
        <f t="shared" si="8"/>
        <v>45188</v>
      </c>
    </row>
    <row r="26">
      <c r="A26" s="108">
        <v>100059.0</v>
      </c>
      <c r="B26" s="110" t="s">
        <v>141</v>
      </c>
      <c r="C26" s="111" t="s">
        <v>310</v>
      </c>
      <c r="D26" s="113">
        <v>45218.0</v>
      </c>
      <c r="E26" s="120">
        <f t="shared" si="5"/>
        <v>-1025</v>
      </c>
      <c r="F26" s="121">
        <f t="shared" si="6"/>
        <v>45128</v>
      </c>
      <c r="G26" s="121">
        <f t="shared" si="7"/>
        <v>45158</v>
      </c>
      <c r="H26" s="121">
        <f t="shared" si="8"/>
        <v>45188</v>
      </c>
    </row>
    <row r="27">
      <c r="A27" s="108">
        <v>100060.0</v>
      </c>
      <c r="B27" s="111" t="s">
        <v>122</v>
      </c>
      <c r="C27" s="111" t="s">
        <v>310</v>
      </c>
      <c r="D27" s="113">
        <v>45218.0</v>
      </c>
      <c r="E27" s="120">
        <f t="shared" si="5"/>
        <v>-1025</v>
      </c>
      <c r="F27" s="121">
        <f t="shared" si="6"/>
        <v>45128</v>
      </c>
      <c r="G27" s="121">
        <f t="shared" si="7"/>
        <v>45158</v>
      </c>
      <c r="H27" s="121">
        <f t="shared" si="8"/>
        <v>45188</v>
      </c>
    </row>
    <row r="28">
      <c r="A28" s="111">
        <v>100061.0</v>
      </c>
      <c r="B28" s="9" t="s">
        <v>346</v>
      </c>
      <c r="C28" s="111" t="s">
        <v>310</v>
      </c>
      <c r="D28" s="113">
        <v>45218.0</v>
      </c>
      <c r="E28" s="120">
        <f t="shared" si="5"/>
        <v>-1025</v>
      </c>
      <c r="F28" s="121">
        <f t="shared" si="6"/>
        <v>45128</v>
      </c>
      <c r="G28" s="121">
        <f t="shared" si="7"/>
        <v>45158</v>
      </c>
      <c r="H28" s="121">
        <f t="shared" si="8"/>
        <v>45188</v>
      </c>
    </row>
    <row r="29">
      <c r="A29" s="9">
        <v>100062.0</v>
      </c>
      <c r="B29" s="9" t="s">
        <v>347</v>
      </c>
      <c r="C29" s="9" t="s">
        <v>310</v>
      </c>
      <c r="D29" s="37">
        <v>45299.0</v>
      </c>
      <c r="E29" s="122">
        <f t="shared" si="5"/>
        <v>-944</v>
      </c>
      <c r="F29" s="123">
        <f t="shared" si="6"/>
        <v>45209</v>
      </c>
      <c r="G29" s="124">
        <f t="shared" si="7"/>
        <v>45239</v>
      </c>
      <c r="H29" s="124">
        <f t="shared" si="8"/>
        <v>45269</v>
      </c>
    </row>
    <row r="30">
      <c r="A30" s="9">
        <v>100063.0</v>
      </c>
      <c r="B30" s="9" t="s">
        <v>353</v>
      </c>
      <c r="C30" s="9" t="s">
        <v>310</v>
      </c>
      <c r="D30" s="45"/>
      <c r="E30" s="45"/>
      <c r="F30" s="45"/>
      <c r="G30" s="45"/>
      <c r="H30" s="45"/>
    </row>
    <row r="31">
      <c r="A31" s="9">
        <v>100064.0</v>
      </c>
      <c r="B31" s="125" t="s">
        <v>354</v>
      </c>
      <c r="C31" s="9" t="s">
        <v>310</v>
      </c>
      <c r="D31" s="45"/>
      <c r="E31" s="45"/>
      <c r="F31" s="45"/>
      <c r="G31" s="45"/>
      <c r="H31" s="45"/>
    </row>
    <row r="32">
      <c r="A32" s="9">
        <v>100065.0</v>
      </c>
      <c r="B32" s="125" t="s">
        <v>304</v>
      </c>
      <c r="C32" s="9" t="s">
        <v>310</v>
      </c>
      <c r="D32" s="45"/>
      <c r="E32" s="45"/>
      <c r="F32" s="45"/>
      <c r="G32" s="45"/>
      <c r="H32" s="45"/>
    </row>
    <row r="33">
      <c r="A33" s="9">
        <v>100066.0</v>
      </c>
      <c r="B33" s="9" t="s">
        <v>355</v>
      </c>
      <c r="C33" s="9" t="s">
        <v>310</v>
      </c>
      <c r="D33" s="45"/>
      <c r="E33" s="45"/>
      <c r="F33" s="45"/>
      <c r="G33" s="45"/>
      <c r="H33" s="45"/>
    </row>
    <row r="34">
      <c r="A34" s="9">
        <v>100067.0</v>
      </c>
      <c r="B34" s="9" t="s">
        <v>20</v>
      </c>
      <c r="C34" s="9" t="s">
        <v>310</v>
      </c>
      <c r="D34" s="45"/>
      <c r="E34" s="45"/>
      <c r="F34" s="45"/>
      <c r="G34" s="45"/>
      <c r="H34" s="45"/>
    </row>
    <row r="35">
      <c r="A35" s="9">
        <v>100068.0</v>
      </c>
      <c r="B35" s="9" t="s">
        <v>49</v>
      </c>
      <c r="C35" s="9" t="s">
        <v>310</v>
      </c>
      <c r="D35" s="45"/>
      <c r="E35" s="45"/>
      <c r="F35" s="45"/>
      <c r="G35" s="45"/>
      <c r="H35" s="45"/>
    </row>
    <row r="36">
      <c r="A36" s="9">
        <v>100069.0</v>
      </c>
      <c r="B36" s="9" t="s">
        <v>359</v>
      </c>
      <c r="C36" s="9" t="s">
        <v>310</v>
      </c>
      <c r="D36" s="37">
        <v>46177.0</v>
      </c>
      <c r="E36" s="122">
        <f t="shared" ref="E36:E39" si="9">D36-TODAY()</f>
        <v>-66</v>
      </c>
      <c r="F36" s="123">
        <f t="shared" ref="F36:F39" si="10">D36-$F$1</f>
        <v>46087</v>
      </c>
      <c r="G36" s="124">
        <f t="shared" ref="G36:G39" si="11">D36-$G$1</f>
        <v>46117</v>
      </c>
      <c r="H36" s="124">
        <f t="shared" ref="H36:H37" si="12">D36-$H$1</f>
        <v>46147</v>
      </c>
    </row>
    <row r="37">
      <c r="A37" s="9">
        <v>100070.0</v>
      </c>
      <c r="B37" s="125" t="s">
        <v>70</v>
      </c>
      <c r="C37" s="9" t="s">
        <v>310</v>
      </c>
      <c r="D37" s="37">
        <v>46175.0</v>
      </c>
      <c r="E37" s="122">
        <f t="shared" si="9"/>
        <v>-68</v>
      </c>
      <c r="F37" s="123">
        <f t="shared" si="10"/>
        <v>46085</v>
      </c>
      <c r="G37" s="124">
        <f t="shared" si="11"/>
        <v>46115</v>
      </c>
      <c r="H37" s="124">
        <f t="shared" si="12"/>
        <v>46145</v>
      </c>
    </row>
    <row r="38">
      <c r="A38" s="9">
        <v>100071.0</v>
      </c>
      <c r="B38" s="125" t="s">
        <v>297</v>
      </c>
      <c r="C38" s="9" t="s">
        <v>310</v>
      </c>
      <c r="D38" s="37">
        <v>46191.0</v>
      </c>
      <c r="E38" s="122">
        <f t="shared" si="9"/>
        <v>-52</v>
      </c>
      <c r="F38" s="123">
        <f t="shared" si="10"/>
        <v>46101</v>
      </c>
      <c r="G38" s="124">
        <f t="shared" si="11"/>
        <v>46131</v>
      </c>
      <c r="H38" s="45"/>
    </row>
    <row r="39">
      <c r="A39" s="9">
        <v>100072.0</v>
      </c>
      <c r="B39" s="9" t="s">
        <v>151</v>
      </c>
      <c r="C39" s="9" t="s">
        <v>310</v>
      </c>
      <c r="D39" s="37">
        <v>46213.0</v>
      </c>
      <c r="E39" s="122">
        <f t="shared" si="9"/>
        <v>-30</v>
      </c>
      <c r="F39" s="123">
        <f t="shared" si="10"/>
        <v>46123</v>
      </c>
      <c r="G39" s="124">
        <f t="shared" si="11"/>
        <v>46153</v>
      </c>
      <c r="H39" s="45"/>
    </row>
    <row r="40">
      <c r="B40" s="32" t="s">
        <v>364</v>
      </c>
      <c r="E40" s="126"/>
      <c r="F40" s="126"/>
      <c r="G40" s="126"/>
      <c r="H40" s="126"/>
    </row>
    <row r="41">
      <c r="B41" s="32" t="s">
        <v>365</v>
      </c>
      <c r="E41" s="126"/>
      <c r="F41" s="126"/>
      <c r="G41" s="126"/>
      <c r="H41" s="126"/>
    </row>
    <row r="42">
      <c r="B42" s="32" t="s">
        <v>367</v>
      </c>
      <c r="E42" s="126"/>
      <c r="F42" s="126"/>
      <c r="G42" s="126"/>
      <c r="H42" s="126"/>
    </row>
    <row r="43">
      <c r="B43" s="32" t="s">
        <v>369</v>
      </c>
      <c r="E43" s="126"/>
      <c r="F43" s="126"/>
      <c r="G43" s="126"/>
      <c r="H43" s="126"/>
    </row>
    <row r="44">
      <c r="B44" s="32" t="s">
        <v>370</v>
      </c>
      <c r="E44" s="126"/>
      <c r="F44" s="126"/>
      <c r="G44" s="126"/>
      <c r="H44" s="126"/>
    </row>
    <row r="45">
      <c r="E45" s="126"/>
      <c r="F45" s="126"/>
      <c r="G45" s="126"/>
      <c r="H45" s="126"/>
    </row>
    <row r="46">
      <c r="B46" s="32"/>
      <c r="E46" s="126"/>
      <c r="F46" s="126"/>
      <c r="G46" s="126"/>
      <c r="H46" s="126"/>
    </row>
    <row r="47">
      <c r="E47" s="126"/>
      <c r="F47" s="126"/>
      <c r="G47" s="126"/>
      <c r="H47" s="126"/>
    </row>
    <row r="48">
      <c r="E48" s="126"/>
      <c r="F48" s="126"/>
      <c r="G48" s="126"/>
      <c r="H48" s="126"/>
    </row>
    <row r="49">
      <c r="E49" s="126"/>
      <c r="F49" s="126"/>
      <c r="G49" s="126"/>
      <c r="H49" s="126"/>
    </row>
    <row r="50">
      <c r="E50" s="126"/>
      <c r="F50" s="126"/>
      <c r="G50" s="126"/>
      <c r="H50" s="126"/>
    </row>
    <row r="51">
      <c r="E51" s="126"/>
      <c r="F51" s="126"/>
      <c r="G51" s="126"/>
      <c r="H51" s="126"/>
    </row>
    <row r="52">
      <c r="E52" s="126"/>
      <c r="F52" s="126"/>
      <c r="G52" s="126"/>
      <c r="H52" s="126"/>
    </row>
    <row r="53">
      <c r="A53" s="127" t="str">
        <f>UPPER(#REF!)</f>
        <v>#REF!</v>
      </c>
      <c r="E53" s="126"/>
      <c r="F53" s="126"/>
      <c r="G53" s="126"/>
      <c r="H53" s="126"/>
    </row>
    <row r="54">
      <c r="E54" s="126"/>
      <c r="F54" s="126"/>
      <c r="G54" s="126"/>
      <c r="H54" s="126"/>
    </row>
    <row r="55">
      <c r="E55" s="126"/>
      <c r="F55" s="126"/>
      <c r="G55" s="126"/>
      <c r="H55" s="126"/>
    </row>
    <row r="56">
      <c r="E56" s="126"/>
      <c r="F56" s="126"/>
      <c r="G56" s="126"/>
      <c r="H56" s="126"/>
    </row>
    <row r="57">
      <c r="E57" s="126"/>
      <c r="F57" s="126"/>
      <c r="G57" s="126"/>
      <c r="H57" s="126"/>
    </row>
    <row r="58">
      <c r="E58" s="126"/>
      <c r="F58" s="126"/>
      <c r="G58" s="126"/>
      <c r="H58" s="126"/>
    </row>
    <row r="59">
      <c r="E59" s="126"/>
      <c r="F59" s="126"/>
      <c r="G59" s="126"/>
      <c r="H59" s="126"/>
    </row>
    <row r="60">
      <c r="E60" s="126"/>
      <c r="F60" s="126"/>
      <c r="G60" s="126"/>
      <c r="H60" s="126"/>
    </row>
    <row r="61">
      <c r="E61" s="126"/>
      <c r="F61" s="126"/>
      <c r="G61" s="126"/>
      <c r="H61" s="126"/>
    </row>
    <row r="62">
      <c r="E62" s="126"/>
      <c r="F62" s="126"/>
      <c r="G62" s="126"/>
      <c r="H62" s="126"/>
    </row>
    <row r="63">
      <c r="E63" s="126"/>
      <c r="F63" s="126"/>
      <c r="G63" s="126"/>
      <c r="H63" s="126"/>
    </row>
    <row r="64">
      <c r="E64" s="126"/>
      <c r="F64" s="126"/>
      <c r="G64" s="126"/>
      <c r="H64" s="126"/>
    </row>
    <row r="65">
      <c r="E65" s="126"/>
      <c r="F65" s="126"/>
      <c r="G65" s="126"/>
      <c r="H65" s="126"/>
    </row>
    <row r="66">
      <c r="E66" s="126"/>
      <c r="F66" s="126"/>
      <c r="G66" s="126"/>
      <c r="H66" s="126"/>
    </row>
    <row r="67">
      <c r="E67" s="126"/>
      <c r="F67" s="126"/>
      <c r="G67" s="126"/>
      <c r="H67" s="126"/>
    </row>
    <row r="68">
      <c r="E68" s="126"/>
      <c r="F68" s="126"/>
      <c r="G68" s="126"/>
      <c r="H68" s="126"/>
    </row>
    <row r="69">
      <c r="E69" s="126"/>
      <c r="F69" s="126"/>
      <c r="G69" s="126"/>
      <c r="H69" s="126"/>
    </row>
    <row r="70">
      <c r="E70" s="126"/>
      <c r="F70" s="126"/>
      <c r="G70" s="126"/>
      <c r="H70" s="126"/>
    </row>
    <row r="71">
      <c r="E71" s="126"/>
      <c r="F71" s="126"/>
      <c r="G71" s="126"/>
      <c r="H71" s="126"/>
    </row>
    <row r="72">
      <c r="E72" s="126"/>
      <c r="F72" s="126"/>
      <c r="G72" s="126"/>
      <c r="H72" s="126"/>
    </row>
    <row r="73">
      <c r="E73" s="126"/>
      <c r="F73" s="126"/>
      <c r="G73" s="126"/>
      <c r="H73" s="126"/>
    </row>
    <row r="74">
      <c r="E74" s="126"/>
      <c r="F74" s="126"/>
      <c r="G74" s="126"/>
      <c r="H74" s="126"/>
    </row>
    <row r="75">
      <c r="E75" s="126"/>
      <c r="F75" s="126"/>
      <c r="G75" s="126"/>
      <c r="H75" s="126"/>
    </row>
    <row r="76">
      <c r="E76" s="126"/>
      <c r="F76" s="126"/>
      <c r="G76" s="126"/>
      <c r="H76" s="126"/>
    </row>
    <row r="77">
      <c r="E77" s="126"/>
      <c r="F77" s="126"/>
      <c r="G77" s="126"/>
      <c r="H77" s="126"/>
    </row>
    <row r="78">
      <c r="E78" s="126"/>
      <c r="F78" s="126"/>
      <c r="G78" s="126"/>
      <c r="H78" s="126"/>
    </row>
    <row r="79">
      <c r="E79" s="126"/>
      <c r="F79" s="126"/>
      <c r="G79" s="126"/>
      <c r="H79" s="126"/>
    </row>
    <row r="80">
      <c r="E80" s="126"/>
      <c r="F80" s="126"/>
      <c r="G80" s="126"/>
      <c r="H80" s="126"/>
    </row>
    <row r="81">
      <c r="E81" s="126"/>
      <c r="F81" s="126"/>
      <c r="G81" s="126"/>
      <c r="H81" s="126"/>
    </row>
    <row r="82">
      <c r="E82" s="126"/>
      <c r="F82" s="126"/>
      <c r="G82" s="126"/>
      <c r="H82" s="126"/>
    </row>
    <row r="83">
      <c r="E83" s="126"/>
      <c r="F83" s="126"/>
      <c r="G83" s="126"/>
      <c r="H83" s="126"/>
    </row>
    <row r="84">
      <c r="E84" s="126"/>
      <c r="F84" s="126"/>
      <c r="G84" s="126"/>
      <c r="H84" s="126"/>
    </row>
    <row r="85">
      <c r="E85" s="126"/>
      <c r="F85" s="126"/>
      <c r="G85" s="126"/>
      <c r="H85" s="126"/>
    </row>
    <row r="86">
      <c r="E86" s="126"/>
      <c r="F86" s="126"/>
      <c r="G86" s="126"/>
      <c r="H86" s="126"/>
    </row>
    <row r="87">
      <c r="E87" s="126"/>
      <c r="F87" s="126"/>
      <c r="G87" s="126"/>
      <c r="H87" s="126"/>
    </row>
    <row r="88">
      <c r="E88" s="126"/>
      <c r="F88" s="126"/>
      <c r="G88" s="126"/>
      <c r="H88" s="126"/>
    </row>
    <row r="89">
      <c r="E89" s="126"/>
      <c r="F89" s="126"/>
      <c r="G89" s="126"/>
      <c r="H89" s="126"/>
    </row>
    <row r="90">
      <c r="E90" s="126"/>
      <c r="F90" s="126"/>
      <c r="G90" s="126"/>
      <c r="H90" s="126"/>
    </row>
    <row r="91">
      <c r="E91" s="126"/>
      <c r="F91" s="126"/>
      <c r="G91" s="126"/>
      <c r="H91" s="126"/>
    </row>
    <row r="92">
      <c r="E92" s="126"/>
      <c r="F92" s="126"/>
      <c r="G92" s="126"/>
      <c r="H92" s="126"/>
    </row>
    <row r="93">
      <c r="E93" s="126"/>
      <c r="F93" s="126"/>
      <c r="G93" s="126"/>
      <c r="H93" s="126"/>
    </row>
    <row r="94">
      <c r="E94" s="126"/>
      <c r="F94" s="126"/>
      <c r="G94" s="126"/>
      <c r="H94" s="126"/>
    </row>
    <row r="95">
      <c r="E95" s="126"/>
      <c r="F95" s="126"/>
      <c r="G95" s="126"/>
      <c r="H95" s="126"/>
    </row>
    <row r="96">
      <c r="E96" s="126"/>
      <c r="F96" s="126"/>
      <c r="G96" s="126"/>
      <c r="H96" s="126"/>
    </row>
    <row r="97">
      <c r="E97" s="126"/>
      <c r="F97" s="126"/>
      <c r="G97" s="126"/>
      <c r="H97" s="126"/>
    </row>
    <row r="98">
      <c r="E98" s="126"/>
      <c r="F98" s="126"/>
      <c r="G98" s="126"/>
      <c r="H98" s="126"/>
    </row>
    <row r="99">
      <c r="E99" s="126"/>
      <c r="F99" s="126"/>
      <c r="G99" s="126"/>
      <c r="H99" s="126"/>
    </row>
    <row r="100">
      <c r="E100" s="126"/>
      <c r="F100" s="126"/>
      <c r="G100" s="126"/>
      <c r="H100" s="126"/>
    </row>
    <row r="101">
      <c r="E101" s="126"/>
      <c r="F101" s="126"/>
      <c r="G101" s="126"/>
      <c r="H101" s="126"/>
    </row>
    <row r="102">
      <c r="E102" s="126"/>
      <c r="F102" s="126"/>
      <c r="G102" s="126"/>
      <c r="H102" s="126"/>
    </row>
    <row r="103">
      <c r="E103" s="126"/>
      <c r="F103" s="126"/>
      <c r="G103" s="126"/>
      <c r="H103" s="126"/>
    </row>
    <row r="104">
      <c r="E104" s="126"/>
      <c r="F104" s="126"/>
      <c r="G104" s="126"/>
      <c r="H104" s="126"/>
    </row>
    <row r="105">
      <c r="E105" s="126"/>
      <c r="F105" s="126"/>
      <c r="G105" s="126"/>
      <c r="H105" s="126"/>
    </row>
    <row r="106">
      <c r="E106" s="126"/>
      <c r="F106" s="126"/>
      <c r="G106" s="126"/>
      <c r="H106" s="126"/>
    </row>
    <row r="107">
      <c r="E107" s="126"/>
      <c r="F107" s="126"/>
      <c r="G107" s="126"/>
      <c r="H107" s="126"/>
    </row>
    <row r="108">
      <c r="E108" s="126"/>
      <c r="F108" s="126"/>
      <c r="G108" s="126"/>
      <c r="H108" s="126"/>
    </row>
    <row r="109">
      <c r="E109" s="126"/>
      <c r="F109" s="126"/>
      <c r="G109" s="126"/>
      <c r="H109" s="126"/>
    </row>
    <row r="110">
      <c r="E110" s="126"/>
      <c r="F110" s="126"/>
      <c r="G110" s="126"/>
      <c r="H110" s="126"/>
    </row>
    <row r="111">
      <c r="E111" s="126"/>
      <c r="F111" s="126"/>
      <c r="G111" s="126"/>
      <c r="H111" s="126"/>
    </row>
    <row r="112">
      <c r="E112" s="126"/>
      <c r="F112" s="126"/>
      <c r="G112" s="126"/>
      <c r="H112" s="126"/>
    </row>
    <row r="113">
      <c r="E113" s="126"/>
      <c r="F113" s="126"/>
      <c r="G113" s="126"/>
      <c r="H113" s="126"/>
    </row>
    <row r="114">
      <c r="E114" s="126"/>
      <c r="F114" s="126"/>
      <c r="G114" s="126"/>
      <c r="H114" s="126"/>
    </row>
    <row r="115">
      <c r="E115" s="126"/>
      <c r="F115" s="126"/>
      <c r="G115" s="126"/>
      <c r="H115" s="126"/>
    </row>
    <row r="116">
      <c r="E116" s="126"/>
      <c r="F116" s="126"/>
      <c r="G116" s="126"/>
      <c r="H116" s="126"/>
    </row>
    <row r="117">
      <c r="E117" s="126"/>
      <c r="F117" s="126"/>
      <c r="G117" s="126"/>
      <c r="H117" s="126"/>
    </row>
    <row r="118">
      <c r="E118" s="126"/>
      <c r="F118" s="126"/>
      <c r="G118" s="126"/>
      <c r="H118" s="126"/>
    </row>
    <row r="119">
      <c r="E119" s="126"/>
      <c r="F119" s="126"/>
      <c r="G119" s="126"/>
      <c r="H119" s="126"/>
    </row>
    <row r="120">
      <c r="E120" s="126"/>
      <c r="F120" s="126"/>
      <c r="G120" s="126"/>
      <c r="H120" s="126"/>
    </row>
    <row r="121">
      <c r="E121" s="126"/>
      <c r="F121" s="126"/>
      <c r="G121" s="126"/>
      <c r="H121" s="126"/>
    </row>
    <row r="122">
      <c r="E122" s="126"/>
      <c r="F122" s="126"/>
      <c r="G122" s="126"/>
      <c r="H122" s="126"/>
    </row>
    <row r="123">
      <c r="E123" s="126"/>
      <c r="F123" s="126"/>
      <c r="G123" s="126"/>
      <c r="H123" s="126"/>
    </row>
    <row r="124">
      <c r="E124" s="126"/>
      <c r="F124" s="126"/>
      <c r="G124" s="126"/>
      <c r="H124" s="126"/>
    </row>
    <row r="125">
      <c r="E125" s="126"/>
      <c r="F125" s="126"/>
      <c r="G125" s="126"/>
      <c r="H125" s="126"/>
    </row>
    <row r="126">
      <c r="E126" s="126"/>
      <c r="F126" s="126"/>
      <c r="G126" s="126"/>
      <c r="H126" s="126"/>
    </row>
    <row r="127">
      <c r="E127" s="126"/>
      <c r="F127" s="126"/>
      <c r="G127" s="126"/>
      <c r="H127" s="126"/>
    </row>
    <row r="128">
      <c r="E128" s="126"/>
      <c r="F128" s="126"/>
      <c r="G128" s="126"/>
      <c r="H128" s="126"/>
    </row>
    <row r="129">
      <c r="E129" s="126"/>
      <c r="F129" s="126"/>
      <c r="G129" s="126"/>
      <c r="H129" s="126"/>
    </row>
    <row r="130">
      <c r="E130" s="126"/>
      <c r="F130" s="126"/>
      <c r="G130" s="126"/>
      <c r="H130" s="126"/>
    </row>
    <row r="131">
      <c r="E131" s="126"/>
      <c r="F131" s="126"/>
      <c r="G131" s="126"/>
      <c r="H131" s="126"/>
    </row>
    <row r="132">
      <c r="E132" s="126"/>
      <c r="F132" s="126"/>
      <c r="G132" s="126"/>
      <c r="H132" s="126"/>
    </row>
    <row r="133">
      <c r="E133" s="126"/>
      <c r="F133" s="126"/>
      <c r="G133" s="126"/>
      <c r="H133" s="126"/>
    </row>
    <row r="134">
      <c r="E134" s="126"/>
      <c r="F134" s="126"/>
      <c r="G134" s="126"/>
      <c r="H134" s="126"/>
    </row>
    <row r="135">
      <c r="E135" s="126"/>
      <c r="F135" s="126"/>
      <c r="G135" s="126"/>
      <c r="H135" s="126"/>
    </row>
    <row r="136">
      <c r="E136" s="126"/>
      <c r="F136" s="126"/>
      <c r="G136" s="126"/>
      <c r="H136" s="126"/>
    </row>
    <row r="137">
      <c r="E137" s="126"/>
      <c r="F137" s="126"/>
      <c r="G137" s="126"/>
      <c r="H137" s="126"/>
    </row>
    <row r="138">
      <c r="E138" s="126"/>
      <c r="F138" s="126"/>
      <c r="G138" s="126"/>
      <c r="H138" s="126"/>
    </row>
    <row r="139">
      <c r="E139" s="126"/>
      <c r="F139" s="126"/>
      <c r="G139" s="126"/>
      <c r="H139" s="126"/>
    </row>
    <row r="140">
      <c r="E140" s="126"/>
      <c r="F140" s="126"/>
      <c r="G140" s="126"/>
      <c r="H140" s="126"/>
    </row>
    <row r="141">
      <c r="E141" s="126"/>
      <c r="F141" s="126"/>
      <c r="G141" s="126"/>
      <c r="H141" s="126"/>
    </row>
    <row r="142">
      <c r="E142" s="126"/>
      <c r="F142" s="126"/>
      <c r="G142" s="126"/>
      <c r="H142" s="126"/>
    </row>
    <row r="143">
      <c r="E143" s="126"/>
      <c r="F143" s="126"/>
      <c r="G143" s="126"/>
      <c r="H143" s="126"/>
    </row>
    <row r="144">
      <c r="E144" s="126"/>
      <c r="F144" s="126"/>
      <c r="G144" s="126"/>
      <c r="H144" s="126"/>
    </row>
    <row r="145">
      <c r="E145" s="126"/>
      <c r="F145" s="126"/>
      <c r="G145" s="126"/>
      <c r="H145" s="126"/>
    </row>
    <row r="146">
      <c r="E146" s="126"/>
      <c r="F146" s="126"/>
      <c r="G146" s="126"/>
      <c r="H146" s="126"/>
    </row>
    <row r="147">
      <c r="E147" s="126"/>
      <c r="F147" s="126"/>
      <c r="G147" s="126"/>
      <c r="H147" s="126"/>
    </row>
    <row r="148">
      <c r="E148" s="126"/>
      <c r="F148" s="126"/>
      <c r="G148" s="126"/>
      <c r="H148" s="126"/>
    </row>
    <row r="149">
      <c r="E149" s="126"/>
      <c r="F149" s="126"/>
      <c r="G149" s="126"/>
      <c r="H149" s="126"/>
    </row>
    <row r="150">
      <c r="E150" s="126"/>
      <c r="F150" s="126"/>
      <c r="G150" s="126"/>
      <c r="H150" s="126"/>
    </row>
    <row r="151">
      <c r="E151" s="126"/>
      <c r="F151" s="126"/>
      <c r="G151" s="126"/>
      <c r="H151" s="126"/>
    </row>
    <row r="152">
      <c r="E152" s="126"/>
      <c r="F152" s="126"/>
      <c r="G152" s="126"/>
      <c r="H152" s="126"/>
    </row>
    <row r="153">
      <c r="E153" s="126"/>
      <c r="F153" s="126"/>
      <c r="G153" s="126"/>
      <c r="H153" s="126"/>
    </row>
    <row r="154">
      <c r="E154" s="126"/>
      <c r="F154" s="126"/>
      <c r="G154" s="126"/>
      <c r="H154" s="126"/>
    </row>
    <row r="155">
      <c r="E155" s="126"/>
      <c r="F155" s="126"/>
      <c r="G155" s="126"/>
      <c r="H155" s="126"/>
    </row>
    <row r="156">
      <c r="E156" s="126"/>
      <c r="F156" s="126"/>
      <c r="G156" s="126"/>
      <c r="H156" s="126"/>
    </row>
    <row r="157">
      <c r="E157" s="126"/>
      <c r="F157" s="126"/>
      <c r="G157" s="126"/>
      <c r="H157" s="126"/>
    </row>
    <row r="158">
      <c r="E158" s="126"/>
      <c r="F158" s="126"/>
      <c r="G158" s="126"/>
      <c r="H158" s="126"/>
    </row>
    <row r="159">
      <c r="E159" s="126"/>
      <c r="F159" s="126"/>
      <c r="G159" s="126"/>
      <c r="H159" s="126"/>
    </row>
    <row r="160">
      <c r="E160" s="126"/>
      <c r="F160" s="126"/>
      <c r="G160" s="126"/>
      <c r="H160" s="126"/>
    </row>
    <row r="161">
      <c r="E161" s="126"/>
      <c r="F161" s="126"/>
      <c r="G161" s="126"/>
      <c r="H161" s="126"/>
    </row>
    <row r="162">
      <c r="E162" s="126"/>
      <c r="F162" s="126"/>
      <c r="G162" s="126"/>
      <c r="H162" s="126"/>
    </row>
    <row r="163">
      <c r="E163" s="126"/>
      <c r="F163" s="126"/>
      <c r="G163" s="126"/>
      <c r="H163" s="126"/>
    </row>
    <row r="164">
      <c r="E164" s="126"/>
      <c r="F164" s="126"/>
      <c r="G164" s="126"/>
      <c r="H164" s="126"/>
    </row>
    <row r="165">
      <c r="E165" s="126"/>
      <c r="F165" s="126"/>
      <c r="G165" s="126"/>
      <c r="H165" s="126"/>
    </row>
    <row r="166">
      <c r="E166" s="126"/>
      <c r="F166" s="126"/>
      <c r="G166" s="126"/>
      <c r="H166" s="126"/>
    </row>
    <row r="167">
      <c r="E167" s="126"/>
      <c r="F167" s="126"/>
      <c r="G167" s="126"/>
      <c r="H167" s="126"/>
    </row>
    <row r="168">
      <c r="E168" s="126"/>
      <c r="F168" s="126"/>
      <c r="G168" s="126"/>
      <c r="H168" s="126"/>
    </row>
    <row r="169">
      <c r="E169" s="126"/>
      <c r="F169" s="126"/>
      <c r="G169" s="126"/>
      <c r="H169" s="126"/>
    </row>
    <row r="170">
      <c r="E170" s="126"/>
      <c r="F170" s="126"/>
      <c r="G170" s="126"/>
      <c r="H170" s="126"/>
    </row>
    <row r="171">
      <c r="E171" s="126"/>
      <c r="F171" s="126"/>
      <c r="G171" s="126"/>
      <c r="H171" s="126"/>
    </row>
    <row r="172">
      <c r="E172" s="126"/>
      <c r="F172" s="126"/>
      <c r="G172" s="126"/>
      <c r="H172" s="126"/>
    </row>
    <row r="173">
      <c r="E173" s="126"/>
      <c r="F173" s="126"/>
      <c r="G173" s="126"/>
      <c r="H173" s="126"/>
    </row>
    <row r="174">
      <c r="E174" s="126"/>
      <c r="F174" s="126"/>
      <c r="G174" s="126"/>
      <c r="H174" s="126"/>
    </row>
    <row r="175">
      <c r="E175" s="126"/>
      <c r="F175" s="126"/>
      <c r="G175" s="126"/>
      <c r="H175" s="126"/>
    </row>
    <row r="176">
      <c r="E176" s="126"/>
      <c r="F176" s="126"/>
      <c r="G176" s="126"/>
      <c r="H176" s="126"/>
    </row>
    <row r="177">
      <c r="E177" s="126"/>
      <c r="F177" s="126"/>
      <c r="G177" s="126"/>
      <c r="H177" s="126"/>
    </row>
    <row r="178">
      <c r="E178" s="126"/>
      <c r="F178" s="126"/>
      <c r="G178" s="126"/>
      <c r="H178" s="126"/>
    </row>
    <row r="179">
      <c r="E179" s="126"/>
      <c r="F179" s="126"/>
      <c r="G179" s="126"/>
      <c r="H179" s="126"/>
    </row>
    <row r="180">
      <c r="E180" s="126"/>
      <c r="F180" s="126"/>
      <c r="G180" s="126"/>
      <c r="H180" s="126"/>
    </row>
    <row r="181">
      <c r="E181" s="126"/>
      <c r="F181" s="126"/>
      <c r="G181" s="126"/>
      <c r="H181" s="126"/>
    </row>
    <row r="182">
      <c r="E182" s="126"/>
      <c r="F182" s="126"/>
      <c r="G182" s="126"/>
      <c r="H182" s="126"/>
    </row>
    <row r="183">
      <c r="E183" s="126"/>
      <c r="F183" s="126"/>
      <c r="G183" s="126"/>
      <c r="H183" s="126"/>
    </row>
    <row r="184">
      <c r="E184" s="126"/>
      <c r="F184" s="126"/>
      <c r="G184" s="126"/>
      <c r="H184" s="126"/>
    </row>
    <row r="185">
      <c r="E185" s="126"/>
      <c r="F185" s="126"/>
      <c r="G185" s="126"/>
      <c r="H185" s="126"/>
    </row>
    <row r="186">
      <c r="E186" s="126"/>
      <c r="F186" s="126"/>
      <c r="G186" s="126"/>
      <c r="H186" s="126"/>
    </row>
    <row r="187">
      <c r="E187" s="126"/>
      <c r="F187" s="126"/>
      <c r="G187" s="126"/>
      <c r="H187" s="126"/>
    </row>
    <row r="188">
      <c r="E188" s="126"/>
      <c r="F188" s="126"/>
      <c r="G188" s="126"/>
      <c r="H188" s="126"/>
    </row>
    <row r="189">
      <c r="E189" s="126"/>
      <c r="F189" s="126"/>
      <c r="G189" s="126"/>
      <c r="H189" s="126"/>
    </row>
    <row r="190">
      <c r="E190" s="126"/>
      <c r="F190" s="126"/>
      <c r="G190" s="126"/>
      <c r="H190" s="126"/>
    </row>
    <row r="191">
      <c r="E191" s="126"/>
      <c r="F191" s="126"/>
      <c r="G191" s="126"/>
      <c r="H191" s="126"/>
    </row>
    <row r="192">
      <c r="E192" s="126"/>
      <c r="F192" s="126"/>
      <c r="G192" s="126"/>
      <c r="H192" s="126"/>
    </row>
    <row r="193">
      <c r="E193" s="126"/>
      <c r="F193" s="126"/>
      <c r="G193" s="126"/>
      <c r="H193" s="126"/>
    </row>
    <row r="194">
      <c r="E194" s="126"/>
      <c r="F194" s="126"/>
      <c r="G194" s="126"/>
      <c r="H194" s="126"/>
    </row>
    <row r="195">
      <c r="E195" s="126"/>
      <c r="F195" s="126"/>
      <c r="G195" s="126"/>
      <c r="H195" s="126"/>
    </row>
    <row r="196">
      <c r="E196" s="126"/>
      <c r="F196" s="126"/>
      <c r="G196" s="126"/>
      <c r="H196" s="126"/>
    </row>
    <row r="197">
      <c r="E197" s="126"/>
      <c r="F197" s="126"/>
      <c r="G197" s="126"/>
      <c r="H197" s="126"/>
    </row>
    <row r="198">
      <c r="E198" s="126"/>
      <c r="F198" s="126"/>
      <c r="G198" s="126"/>
      <c r="H198" s="126"/>
    </row>
    <row r="199">
      <c r="E199" s="126"/>
      <c r="F199" s="126"/>
      <c r="G199" s="126"/>
      <c r="H199" s="126"/>
    </row>
    <row r="200">
      <c r="E200" s="126"/>
      <c r="F200" s="126"/>
      <c r="G200" s="126"/>
      <c r="H200" s="126"/>
    </row>
    <row r="201">
      <c r="E201" s="126"/>
      <c r="F201" s="126"/>
      <c r="G201" s="126"/>
      <c r="H201" s="126"/>
    </row>
    <row r="202">
      <c r="E202" s="126"/>
      <c r="F202" s="126"/>
      <c r="G202" s="126"/>
      <c r="H202" s="126"/>
    </row>
    <row r="203">
      <c r="E203" s="126"/>
      <c r="F203" s="126"/>
      <c r="G203" s="126"/>
      <c r="H203" s="126"/>
    </row>
    <row r="204">
      <c r="E204" s="126"/>
      <c r="F204" s="126"/>
      <c r="G204" s="126"/>
      <c r="H204" s="126"/>
    </row>
    <row r="205">
      <c r="E205" s="126"/>
      <c r="F205" s="126"/>
      <c r="G205" s="126"/>
      <c r="H205" s="126"/>
    </row>
    <row r="206">
      <c r="E206" s="126"/>
      <c r="F206" s="126"/>
      <c r="G206" s="126"/>
      <c r="H206" s="126"/>
    </row>
    <row r="207">
      <c r="E207" s="126"/>
      <c r="F207" s="126"/>
      <c r="G207" s="126"/>
      <c r="H207" s="126"/>
    </row>
    <row r="208">
      <c r="E208" s="126"/>
      <c r="F208" s="126"/>
      <c r="G208" s="126"/>
      <c r="H208" s="126"/>
    </row>
    <row r="209">
      <c r="E209" s="126"/>
      <c r="F209" s="126"/>
      <c r="G209" s="126"/>
      <c r="H209" s="126"/>
    </row>
    <row r="210">
      <c r="E210" s="126"/>
      <c r="F210" s="126"/>
      <c r="G210" s="126"/>
      <c r="H210" s="126"/>
    </row>
    <row r="211">
      <c r="E211" s="126"/>
      <c r="F211" s="126"/>
      <c r="G211" s="126"/>
      <c r="H211" s="126"/>
    </row>
    <row r="212">
      <c r="E212" s="126"/>
      <c r="F212" s="126"/>
      <c r="G212" s="126"/>
      <c r="H212" s="126"/>
    </row>
    <row r="213">
      <c r="E213" s="126"/>
      <c r="F213" s="126"/>
      <c r="G213" s="126"/>
      <c r="H213" s="126"/>
    </row>
    <row r="214">
      <c r="E214" s="126"/>
      <c r="F214" s="126"/>
      <c r="G214" s="126"/>
      <c r="H214" s="126"/>
    </row>
    <row r="215">
      <c r="E215" s="126"/>
      <c r="F215" s="126"/>
      <c r="G215" s="126"/>
      <c r="H215" s="126"/>
    </row>
    <row r="216">
      <c r="E216" s="126"/>
      <c r="F216" s="126"/>
      <c r="G216" s="126"/>
      <c r="H216" s="126"/>
    </row>
    <row r="217">
      <c r="E217" s="126"/>
      <c r="F217" s="126"/>
      <c r="G217" s="126"/>
      <c r="H217" s="126"/>
    </row>
    <row r="218">
      <c r="E218" s="126"/>
      <c r="F218" s="126"/>
      <c r="G218" s="126"/>
      <c r="H218" s="126"/>
    </row>
    <row r="219">
      <c r="E219" s="126"/>
      <c r="F219" s="126"/>
      <c r="G219" s="126"/>
      <c r="H219" s="126"/>
    </row>
    <row r="220">
      <c r="E220" s="126"/>
      <c r="F220" s="126"/>
      <c r="G220" s="126"/>
      <c r="H220" s="126"/>
    </row>
    <row r="221">
      <c r="E221" s="126"/>
      <c r="F221" s="126"/>
      <c r="G221" s="126"/>
      <c r="H221" s="126"/>
    </row>
    <row r="222">
      <c r="E222" s="126"/>
      <c r="F222" s="126"/>
      <c r="G222" s="126"/>
      <c r="H222" s="126"/>
    </row>
    <row r="223">
      <c r="E223" s="126"/>
      <c r="F223" s="126"/>
      <c r="G223" s="126"/>
      <c r="H223" s="126"/>
    </row>
    <row r="224">
      <c r="E224" s="126"/>
      <c r="F224" s="126"/>
      <c r="G224" s="126"/>
      <c r="H224" s="126"/>
    </row>
    <row r="225">
      <c r="E225" s="126"/>
      <c r="F225" s="126"/>
      <c r="G225" s="126"/>
      <c r="H225" s="126"/>
    </row>
    <row r="226">
      <c r="E226" s="126"/>
      <c r="F226" s="126"/>
      <c r="G226" s="126"/>
      <c r="H226" s="126"/>
    </row>
    <row r="227">
      <c r="E227" s="126"/>
      <c r="F227" s="126"/>
      <c r="G227" s="126"/>
      <c r="H227" s="126"/>
    </row>
    <row r="228">
      <c r="E228" s="126"/>
      <c r="F228" s="126"/>
      <c r="G228" s="126"/>
      <c r="H228" s="126"/>
    </row>
    <row r="229">
      <c r="E229" s="126"/>
      <c r="F229" s="126"/>
      <c r="G229" s="126"/>
      <c r="H229" s="126"/>
    </row>
    <row r="230">
      <c r="E230" s="126"/>
      <c r="F230" s="126"/>
      <c r="G230" s="126"/>
      <c r="H230" s="126"/>
    </row>
    <row r="231">
      <c r="E231" s="126"/>
      <c r="F231" s="126"/>
      <c r="G231" s="126"/>
      <c r="H231" s="126"/>
    </row>
    <row r="232">
      <c r="E232" s="126"/>
      <c r="F232" s="126"/>
      <c r="G232" s="126"/>
      <c r="H232" s="126"/>
    </row>
    <row r="233">
      <c r="E233" s="126"/>
      <c r="F233" s="126"/>
      <c r="G233" s="126"/>
      <c r="H233" s="126"/>
    </row>
    <row r="234">
      <c r="E234" s="126"/>
      <c r="F234" s="126"/>
      <c r="G234" s="126"/>
      <c r="H234" s="126"/>
    </row>
    <row r="235">
      <c r="E235" s="126"/>
      <c r="F235" s="126"/>
      <c r="G235" s="126"/>
      <c r="H235" s="126"/>
    </row>
    <row r="236">
      <c r="E236" s="126"/>
      <c r="F236" s="126"/>
      <c r="G236" s="126"/>
      <c r="H236" s="126"/>
    </row>
    <row r="237">
      <c r="E237" s="126"/>
      <c r="F237" s="126"/>
      <c r="G237" s="126"/>
      <c r="H237" s="126"/>
    </row>
    <row r="238">
      <c r="E238" s="126"/>
      <c r="F238" s="126"/>
      <c r="G238" s="126"/>
      <c r="H238" s="126"/>
    </row>
    <row r="239">
      <c r="E239" s="126"/>
      <c r="F239" s="126"/>
      <c r="G239" s="126"/>
      <c r="H239" s="126"/>
    </row>
    <row r="240">
      <c r="E240" s="126"/>
      <c r="F240" s="126"/>
      <c r="G240" s="126"/>
      <c r="H240" s="126"/>
    </row>
    <row r="241">
      <c r="E241" s="126"/>
      <c r="F241" s="126"/>
      <c r="G241" s="126"/>
      <c r="H241" s="126"/>
    </row>
    <row r="242">
      <c r="E242" s="126"/>
      <c r="F242" s="126"/>
      <c r="G242" s="126"/>
      <c r="H242" s="126"/>
    </row>
    <row r="243">
      <c r="E243" s="126"/>
      <c r="F243" s="126"/>
      <c r="G243" s="126"/>
      <c r="H243" s="126"/>
    </row>
    <row r="244">
      <c r="E244" s="126"/>
      <c r="F244" s="126"/>
      <c r="G244" s="126"/>
      <c r="H244" s="126"/>
    </row>
    <row r="245">
      <c r="E245" s="126"/>
      <c r="F245" s="126"/>
      <c r="G245" s="126"/>
      <c r="H245" s="126"/>
    </row>
    <row r="246">
      <c r="E246" s="126"/>
      <c r="F246" s="126"/>
      <c r="G246" s="126"/>
      <c r="H246" s="126"/>
    </row>
    <row r="247">
      <c r="E247" s="126"/>
      <c r="F247" s="126"/>
      <c r="G247" s="126"/>
      <c r="H247" s="126"/>
    </row>
    <row r="248">
      <c r="E248" s="126"/>
      <c r="F248" s="126"/>
      <c r="G248" s="126"/>
      <c r="H248" s="126"/>
    </row>
    <row r="249">
      <c r="E249" s="126"/>
      <c r="F249" s="126"/>
      <c r="G249" s="126"/>
      <c r="H249" s="126"/>
    </row>
    <row r="250">
      <c r="E250" s="126"/>
      <c r="F250" s="126"/>
      <c r="G250" s="126"/>
      <c r="H250" s="126"/>
    </row>
    <row r="251">
      <c r="E251" s="126"/>
      <c r="F251" s="126"/>
      <c r="G251" s="126"/>
      <c r="H251" s="126"/>
    </row>
    <row r="252">
      <c r="E252" s="126"/>
      <c r="F252" s="126"/>
      <c r="G252" s="126"/>
      <c r="H252" s="126"/>
    </row>
    <row r="253">
      <c r="E253" s="126"/>
      <c r="F253" s="126"/>
      <c r="G253" s="126"/>
      <c r="H253" s="126"/>
    </row>
    <row r="254">
      <c r="E254" s="126"/>
      <c r="F254" s="126"/>
      <c r="G254" s="126"/>
      <c r="H254" s="126"/>
    </row>
    <row r="255">
      <c r="E255" s="126"/>
      <c r="F255" s="126"/>
      <c r="G255" s="126"/>
      <c r="H255" s="126"/>
    </row>
    <row r="256">
      <c r="E256" s="126"/>
      <c r="F256" s="126"/>
      <c r="G256" s="126"/>
      <c r="H256" s="126"/>
    </row>
    <row r="257">
      <c r="E257" s="126"/>
      <c r="F257" s="126"/>
      <c r="G257" s="126"/>
      <c r="H257" s="126"/>
    </row>
    <row r="258">
      <c r="E258" s="126"/>
      <c r="F258" s="126"/>
      <c r="G258" s="126"/>
      <c r="H258" s="126"/>
    </row>
    <row r="259">
      <c r="E259" s="126"/>
      <c r="F259" s="126"/>
      <c r="G259" s="126"/>
      <c r="H259" s="126"/>
    </row>
    <row r="260">
      <c r="E260" s="126"/>
      <c r="F260" s="126"/>
      <c r="G260" s="126"/>
      <c r="H260" s="126"/>
    </row>
    <row r="261">
      <c r="E261" s="126"/>
      <c r="F261" s="126"/>
      <c r="G261" s="126"/>
      <c r="H261" s="126"/>
    </row>
    <row r="262">
      <c r="E262" s="126"/>
      <c r="F262" s="126"/>
      <c r="G262" s="126"/>
      <c r="H262" s="126"/>
    </row>
    <row r="263">
      <c r="E263" s="126"/>
      <c r="F263" s="126"/>
      <c r="G263" s="126"/>
      <c r="H263" s="126"/>
    </row>
    <row r="264">
      <c r="E264" s="126"/>
      <c r="F264" s="126"/>
      <c r="G264" s="126"/>
      <c r="H264" s="126"/>
    </row>
    <row r="265">
      <c r="E265" s="126"/>
      <c r="F265" s="126"/>
      <c r="G265" s="126"/>
      <c r="H265" s="126"/>
    </row>
    <row r="266">
      <c r="E266" s="126"/>
      <c r="F266" s="126"/>
      <c r="G266" s="126"/>
      <c r="H266" s="126"/>
    </row>
    <row r="267">
      <c r="E267" s="126"/>
      <c r="F267" s="126"/>
      <c r="G267" s="126"/>
      <c r="H267" s="126"/>
    </row>
    <row r="268">
      <c r="E268" s="126"/>
      <c r="F268" s="126"/>
      <c r="G268" s="126"/>
      <c r="H268" s="126"/>
    </row>
    <row r="269">
      <c r="E269" s="126"/>
      <c r="F269" s="126"/>
      <c r="G269" s="126"/>
      <c r="H269" s="126"/>
    </row>
    <row r="270">
      <c r="E270" s="126"/>
      <c r="F270" s="126"/>
      <c r="G270" s="126"/>
      <c r="H270" s="126"/>
    </row>
    <row r="271">
      <c r="E271" s="126"/>
      <c r="F271" s="126"/>
      <c r="G271" s="126"/>
      <c r="H271" s="126"/>
    </row>
    <row r="272">
      <c r="E272" s="126"/>
      <c r="F272" s="126"/>
      <c r="G272" s="126"/>
      <c r="H272" s="126"/>
    </row>
    <row r="273">
      <c r="E273" s="126"/>
      <c r="F273" s="126"/>
      <c r="G273" s="126"/>
      <c r="H273" s="126"/>
    </row>
    <row r="274">
      <c r="E274" s="126"/>
      <c r="F274" s="126"/>
      <c r="G274" s="126"/>
      <c r="H274" s="126"/>
    </row>
    <row r="275">
      <c r="E275" s="126"/>
      <c r="F275" s="126"/>
      <c r="G275" s="126"/>
      <c r="H275" s="126"/>
    </row>
    <row r="276">
      <c r="E276" s="126"/>
      <c r="F276" s="126"/>
      <c r="G276" s="126"/>
      <c r="H276" s="126"/>
    </row>
    <row r="277">
      <c r="E277" s="126"/>
      <c r="F277" s="126"/>
      <c r="G277" s="126"/>
      <c r="H277" s="126"/>
    </row>
    <row r="278">
      <c r="E278" s="126"/>
      <c r="F278" s="126"/>
      <c r="G278" s="126"/>
      <c r="H278" s="126"/>
    </row>
    <row r="279">
      <c r="E279" s="126"/>
      <c r="F279" s="126"/>
      <c r="G279" s="126"/>
      <c r="H279" s="126"/>
    </row>
    <row r="280">
      <c r="E280" s="126"/>
      <c r="F280" s="126"/>
      <c r="G280" s="126"/>
      <c r="H280" s="126"/>
    </row>
    <row r="281">
      <c r="E281" s="126"/>
      <c r="F281" s="126"/>
      <c r="G281" s="126"/>
      <c r="H281" s="126"/>
    </row>
    <row r="282">
      <c r="E282" s="126"/>
      <c r="F282" s="126"/>
      <c r="G282" s="126"/>
      <c r="H282" s="126"/>
    </row>
    <row r="283">
      <c r="E283" s="126"/>
      <c r="F283" s="126"/>
      <c r="G283" s="126"/>
      <c r="H283" s="126"/>
    </row>
    <row r="284">
      <c r="E284" s="126"/>
      <c r="F284" s="126"/>
      <c r="G284" s="126"/>
      <c r="H284" s="126"/>
    </row>
    <row r="285">
      <c r="E285" s="126"/>
      <c r="F285" s="126"/>
      <c r="G285" s="126"/>
      <c r="H285" s="126"/>
    </row>
    <row r="286">
      <c r="E286" s="126"/>
      <c r="F286" s="126"/>
      <c r="G286" s="126"/>
      <c r="H286" s="126"/>
    </row>
    <row r="287">
      <c r="E287" s="126"/>
      <c r="F287" s="126"/>
      <c r="G287" s="126"/>
      <c r="H287" s="126"/>
    </row>
    <row r="288">
      <c r="E288" s="126"/>
      <c r="F288" s="126"/>
      <c r="G288" s="126"/>
      <c r="H288" s="126"/>
    </row>
    <row r="289">
      <c r="E289" s="126"/>
      <c r="F289" s="126"/>
      <c r="G289" s="126"/>
      <c r="H289" s="126"/>
    </row>
    <row r="290">
      <c r="E290" s="126"/>
      <c r="F290" s="126"/>
      <c r="G290" s="126"/>
      <c r="H290" s="126"/>
    </row>
    <row r="291">
      <c r="E291" s="126"/>
      <c r="F291" s="126"/>
      <c r="G291" s="126"/>
      <c r="H291" s="126"/>
    </row>
    <row r="292">
      <c r="E292" s="126"/>
      <c r="F292" s="126"/>
      <c r="G292" s="126"/>
      <c r="H292" s="126"/>
    </row>
    <row r="293">
      <c r="E293" s="126"/>
      <c r="F293" s="126"/>
      <c r="G293" s="126"/>
      <c r="H293" s="126"/>
    </row>
    <row r="294">
      <c r="E294" s="126"/>
      <c r="F294" s="126"/>
      <c r="G294" s="126"/>
      <c r="H294" s="126"/>
    </row>
    <row r="295">
      <c r="E295" s="126"/>
      <c r="F295" s="126"/>
      <c r="G295" s="126"/>
      <c r="H295" s="126"/>
    </row>
    <row r="296">
      <c r="E296" s="126"/>
      <c r="F296" s="126"/>
      <c r="G296" s="126"/>
      <c r="H296" s="126"/>
    </row>
    <row r="297">
      <c r="E297" s="126"/>
      <c r="F297" s="126"/>
      <c r="G297" s="126"/>
      <c r="H297" s="126"/>
    </row>
    <row r="298">
      <c r="E298" s="126"/>
      <c r="F298" s="126"/>
      <c r="G298" s="126"/>
      <c r="H298" s="126"/>
    </row>
    <row r="299">
      <c r="E299" s="126"/>
      <c r="F299" s="126"/>
      <c r="G299" s="126"/>
      <c r="H299" s="126"/>
    </row>
    <row r="300">
      <c r="E300" s="126"/>
      <c r="F300" s="126"/>
      <c r="G300" s="126"/>
      <c r="H300" s="126"/>
    </row>
    <row r="301">
      <c r="E301" s="126"/>
      <c r="F301" s="126"/>
      <c r="G301" s="126"/>
      <c r="H301" s="126"/>
    </row>
    <row r="302">
      <c r="E302" s="126"/>
      <c r="F302" s="126"/>
      <c r="G302" s="126"/>
      <c r="H302" s="126"/>
    </row>
    <row r="303">
      <c r="E303" s="126"/>
      <c r="F303" s="126"/>
      <c r="G303" s="126"/>
      <c r="H303" s="126"/>
    </row>
    <row r="304">
      <c r="E304" s="126"/>
      <c r="F304" s="126"/>
      <c r="G304" s="126"/>
      <c r="H304" s="126"/>
    </row>
    <row r="305">
      <c r="E305" s="126"/>
      <c r="F305" s="126"/>
      <c r="G305" s="126"/>
      <c r="H305" s="126"/>
    </row>
    <row r="306">
      <c r="E306" s="126"/>
      <c r="F306" s="126"/>
      <c r="G306" s="126"/>
      <c r="H306" s="126"/>
    </row>
    <row r="307">
      <c r="E307" s="126"/>
      <c r="F307" s="126"/>
      <c r="G307" s="126"/>
      <c r="H307" s="126"/>
    </row>
    <row r="308">
      <c r="E308" s="126"/>
      <c r="F308" s="126"/>
      <c r="G308" s="126"/>
      <c r="H308" s="126"/>
    </row>
    <row r="309">
      <c r="E309" s="126"/>
      <c r="F309" s="126"/>
      <c r="G309" s="126"/>
      <c r="H309" s="126"/>
    </row>
    <row r="310">
      <c r="E310" s="126"/>
      <c r="F310" s="126"/>
      <c r="G310" s="126"/>
      <c r="H310" s="126"/>
    </row>
    <row r="311">
      <c r="E311" s="126"/>
      <c r="F311" s="126"/>
      <c r="G311" s="126"/>
      <c r="H311" s="126"/>
    </row>
    <row r="312">
      <c r="E312" s="126"/>
      <c r="F312" s="126"/>
      <c r="G312" s="126"/>
      <c r="H312" s="126"/>
    </row>
    <row r="313">
      <c r="E313" s="126"/>
      <c r="F313" s="126"/>
      <c r="G313" s="126"/>
      <c r="H313" s="126"/>
    </row>
    <row r="314">
      <c r="E314" s="126"/>
      <c r="F314" s="126"/>
      <c r="G314" s="126"/>
      <c r="H314" s="126"/>
    </row>
    <row r="315">
      <c r="E315" s="126"/>
      <c r="F315" s="126"/>
      <c r="G315" s="126"/>
      <c r="H315" s="126"/>
    </row>
    <row r="316">
      <c r="E316" s="126"/>
      <c r="F316" s="126"/>
      <c r="G316" s="126"/>
      <c r="H316" s="126"/>
    </row>
    <row r="317">
      <c r="E317" s="126"/>
      <c r="F317" s="126"/>
      <c r="G317" s="126"/>
      <c r="H317" s="126"/>
    </row>
    <row r="318">
      <c r="E318" s="126"/>
      <c r="F318" s="126"/>
      <c r="G318" s="126"/>
      <c r="H318" s="126"/>
    </row>
    <row r="319">
      <c r="E319" s="126"/>
      <c r="F319" s="126"/>
      <c r="G319" s="126"/>
      <c r="H319" s="126"/>
    </row>
    <row r="320">
      <c r="E320" s="126"/>
      <c r="F320" s="126"/>
      <c r="G320" s="126"/>
      <c r="H320" s="126"/>
    </row>
    <row r="321">
      <c r="E321" s="126"/>
      <c r="F321" s="126"/>
      <c r="G321" s="126"/>
      <c r="H321" s="126"/>
    </row>
    <row r="322">
      <c r="E322" s="126"/>
      <c r="F322" s="126"/>
      <c r="G322" s="126"/>
      <c r="H322" s="126"/>
    </row>
    <row r="323">
      <c r="E323" s="126"/>
      <c r="F323" s="126"/>
      <c r="G323" s="126"/>
      <c r="H323" s="126"/>
    </row>
    <row r="324">
      <c r="E324" s="126"/>
      <c r="F324" s="126"/>
      <c r="G324" s="126"/>
      <c r="H324" s="126"/>
    </row>
    <row r="325">
      <c r="E325" s="126"/>
      <c r="F325" s="126"/>
      <c r="G325" s="126"/>
      <c r="H325" s="126"/>
    </row>
    <row r="326">
      <c r="E326" s="126"/>
      <c r="F326" s="126"/>
      <c r="G326" s="126"/>
      <c r="H326" s="126"/>
    </row>
    <row r="327">
      <c r="E327" s="126"/>
      <c r="F327" s="126"/>
      <c r="G327" s="126"/>
      <c r="H327" s="126"/>
    </row>
    <row r="328">
      <c r="E328" s="126"/>
      <c r="F328" s="126"/>
      <c r="G328" s="126"/>
      <c r="H328" s="126"/>
    </row>
    <row r="329">
      <c r="E329" s="126"/>
      <c r="F329" s="126"/>
      <c r="G329" s="126"/>
      <c r="H329" s="126"/>
    </row>
    <row r="330">
      <c r="E330" s="126"/>
      <c r="F330" s="126"/>
      <c r="G330" s="126"/>
      <c r="H330" s="126"/>
    </row>
    <row r="331">
      <c r="E331" s="126"/>
      <c r="F331" s="126"/>
      <c r="G331" s="126"/>
      <c r="H331" s="126"/>
    </row>
    <row r="332">
      <c r="E332" s="126"/>
      <c r="F332" s="126"/>
      <c r="G332" s="126"/>
      <c r="H332" s="126"/>
    </row>
    <row r="333">
      <c r="E333" s="126"/>
      <c r="F333" s="126"/>
      <c r="G333" s="126"/>
      <c r="H333" s="126"/>
    </row>
    <row r="334">
      <c r="E334" s="126"/>
      <c r="F334" s="126"/>
      <c r="G334" s="126"/>
      <c r="H334" s="126"/>
    </row>
    <row r="335">
      <c r="E335" s="126"/>
      <c r="F335" s="126"/>
      <c r="G335" s="126"/>
      <c r="H335" s="126"/>
    </row>
    <row r="336">
      <c r="E336" s="126"/>
      <c r="F336" s="126"/>
      <c r="G336" s="126"/>
      <c r="H336" s="126"/>
    </row>
    <row r="337">
      <c r="E337" s="126"/>
      <c r="F337" s="126"/>
      <c r="G337" s="126"/>
      <c r="H337" s="126"/>
    </row>
    <row r="338">
      <c r="E338" s="126"/>
      <c r="F338" s="126"/>
      <c r="G338" s="126"/>
      <c r="H338" s="126"/>
    </row>
    <row r="339">
      <c r="E339" s="126"/>
      <c r="F339" s="126"/>
      <c r="G339" s="126"/>
      <c r="H339" s="126"/>
    </row>
    <row r="340">
      <c r="E340" s="126"/>
      <c r="F340" s="126"/>
      <c r="G340" s="126"/>
      <c r="H340" s="126"/>
    </row>
    <row r="341">
      <c r="E341" s="126"/>
      <c r="F341" s="126"/>
      <c r="G341" s="126"/>
      <c r="H341" s="126"/>
    </row>
    <row r="342">
      <c r="E342" s="126"/>
      <c r="F342" s="126"/>
      <c r="G342" s="126"/>
      <c r="H342" s="126"/>
    </row>
    <row r="343">
      <c r="E343" s="126"/>
      <c r="F343" s="126"/>
      <c r="G343" s="126"/>
      <c r="H343" s="126"/>
    </row>
    <row r="344">
      <c r="E344" s="126"/>
      <c r="F344" s="126"/>
      <c r="G344" s="126"/>
      <c r="H344" s="126"/>
    </row>
    <row r="345">
      <c r="E345" s="126"/>
      <c r="F345" s="126"/>
      <c r="G345" s="126"/>
      <c r="H345" s="126"/>
    </row>
    <row r="346">
      <c r="E346" s="126"/>
      <c r="F346" s="126"/>
      <c r="G346" s="126"/>
      <c r="H346" s="126"/>
    </row>
    <row r="347">
      <c r="E347" s="126"/>
      <c r="F347" s="126"/>
      <c r="G347" s="126"/>
      <c r="H347" s="126"/>
    </row>
    <row r="348">
      <c r="E348" s="126"/>
      <c r="F348" s="126"/>
      <c r="G348" s="126"/>
      <c r="H348" s="126"/>
    </row>
    <row r="349">
      <c r="E349" s="126"/>
      <c r="F349" s="126"/>
      <c r="G349" s="126"/>
      <c r="H349" s="126"/>
    </row>
    <row r="350">
      <c r="E350" s="126"/>
      <c r="F350" s="126"/>
      <c r="G350" s="126"/>
      <c r="H350" s="126"/>
    </row>
    <row r="351">
      <c r="E351" s="126"/>
      <c r="F351" s="126"/>
      <c r="G351" s="126"/>
      <c r="H351" s="126"/>
    </row>
    <row r="352">
      <c r="E352" s="126"/>
      <c r="F352" s="126"/>
      <c r="G352" s="126"/>
      <c r="H352" s="126"/>
    </row>
    <row r="353">
      <c r="E353" s="126"/>
      <c r="F353" s="126"/>
      <c r="G353" s="126"/>
      <c r="H353" s="126"/>
    </row>
    <row r="354">
      <c r="E354" s="126"/>
      <c r="F354" s="126"/>
      <c r="G354" s="126"/>
      <c r="H354" s="126"/>
    </row>
    <row r="355">
      <c r="E355" s="126"/>
      <c r="F355" s="126"/>
      <c r="G355" s="126"/>
      <c r="H355" s="126"/>
    </row>
    <row r="356">
      <c r="E356" s="126"/>
      <c r="F356" s="126"/>
      <c r="G356" s="126"/>
      <c r="H356" s="126"/>
    </row>
    <row r="357">
      <c r="E357" s="126"/>
      <c r="F357" s="126"/>
      <c r="G357" s="126"/>
      <c r="H357" s="126"/>
    </row>
    <row r="358">
      <c r="E358" s="126"/>
      <c r="F358" s="126"/>
      <c r="G358" s="126"/>
      <c r="H358" s="126"/>
    </row>
    <row r="359">
      <c r="E359" s="126"/>
      <c r="F359" s="126"/>
      <c r="G359" s="126"/>
      <c r="H359" s="126"/>
    </row>
    <row r="360">
      <c r="E360" s="126"/>
      <c r="F360" s="126"/>
      <c r="G360" s="126"/>
      <c r="H360" s="126"/>
    </row>
    <row r="361">
      <c r="E361" s="126"/>
      <c r="F361" s="126"/>
      <c r="G361" s="126"/>
      <c r="H361" s="126"/>
    </row>
    <row r="362">
      <c r="E362" s="126"/>
      <c r="F362" s="126"/>
      <c r="G362" s="126"/>
      <c r="H362" s="126"/>
    </row>
    <row r="363">
      <c r="E363" s="126"/>
      <c r="F363" s="126"/>
      <c r="G363" s="126"/>
      <c r="H363" s="126"/>
    </row>
    <row r="364">
      <c r="E364" s="126"/>
      <c r="F364" s="126"/>
      <c r="G364" s="126"/>
      <c r="H364" s="126"/>
    </row>
    <row r="365">
      <c r="E365" s="126"/>
      <c r="F365" s="126"/>
      <c r="G365" s="126"/>
      <c r="H365" s="126"/>
    </row>
    <row r="366">
      <c r="E366" s="126"/>
      <c r="F366" s="126"/>
      <c r="G366" s="126"/>
      <c r="H366" s="126"/>
    </row>
    <row r="367">
      <c r="E367" s="126"/>
      <c r="F367" s="126"/>
      <c r="G367" s="126"/>
      <c r="H367" s="126"/>
    </row>
    <row r="368">
      <c r="E368" s="126"/>
      <c r="F368" s="126"/>
      <c r="G368" s="126"/>
      <c r="H368" s="126"/>
    </row>
    <row r="369">
      <c r="E369" s="126"/>
      <c r="F369" s="126"/>
      <c r="G369" s="126"/>
      <c r="H369" s="126"/>
    </row>
    <row r="370">
      <c r="E370" s="126"/>
      <c r="F370" s="126"/>
      <c r="G370" s="126"/>
      <c r="H370" s="126"/>
    </row>
    <row r="371">
      <c r="E371" s="126"/>
      <c r="F371" s="126"/>
      <c r="G371" s="126"/>
      <c r="H371" s="126"/>
    </row>
    <row r="372">
      <c r="E372" s="126"/>
      <c r="F372" s="126"/>
      <c r="G372" s="126"/>
      <c r="H372" s="126"/>
    </row>
    <row r="373">
      <c r="E373" s="126"/>
      <c r="F373" s="126"/>
      <c r="G373" s="126"/>
      <c r="H373" s="126"/>
    </row>
    <row r="374">
      <c r="E374" s="126"/>
      <c r="F374" s="126"/>
      <c r="G374" s="126"/>
      <c r="H374" s="126"/>
    </row>
    <row r="375">
      <c r="E375" s="126"/>
      <c r="F375" s="126"/>
      <c r="G375" s="126"/>
      <c r="H375" s="126"/>
    </row>
    <row r="376">
      <c r="E376" s="126"/>
      <c r="F376" s="126"/>
      <c r="G376" s="126"/>
      <c r="H376" s="126"/>
    </row>
    <row r="377">
      <c r="E377" s="126"/>
      <c r="F377" s="126"/>
      <c r="G377" s="126"/>
      <c r="H377" s="126"/>
    </row>
    <row r="378">
      <c r="E378" s="126"/>
      <c r="F378" s="126"/>
      <c r="G378" s="126"/>
      <c r="H378" s="126"/>
    </row>
    <row r="379">
      <c r="E379" s="126"/>
      <c r="F379" s="126"/>
      <c r="G379" s="126"/>
      <c r="H379" s="126"/>
    </row>
    <row r="380">
      <c r="E380" s="126"/>
      <c r="F380" s="126"/>
      <c r="G380" s="126"/>
      <c r="H380" s="126"/>
    </row>
    <row r="381">
      <c r="E381" s="126"/>
      <c r="F381" s="126"/>
      <c r="G381" s="126"/>
      <c r="H381" s="126"/>
    </row>
    <row r="382">
      <c r="E382" s="126"/>
      <c r="F382" s="126"/>
      <c r="G382" s="126"/>
      <c r="H382" s="126"/>
    </row>
    <row r="383">
      <c r="E383" s="126"/>
      <c r="F383" s="126"/>
      <c r="G383" s="126"/>
      <c r="H383" s="126"/>
    </row>
    <row r="384">
      <c r="E384" s="126"/>
      <c r="F384" s="126"/>
      <c r="G384" s="126"/>
      <c r="H384" s="126"/>
    </row>
    <row r="385">
      <c r="E385" s="126"/>
      <c r="F385" s="126"/>
      <c r="G385" s="126"/>
      <c r="H385" s="126"/>
    </row>
    <row r="386">
      <c r="E386" s="126"/>
      <c r="F386" s="126"/>
      <c r="G386" s="126"/>
      <c r="H386" s="126"/>
    </row>
    <row r="387">
      <c r="E387" s="126"/>
      <c r="F387" s="126"/>
      <c r="G387" s="126"/>
      <c r="H387" s="126"/>
    </row>
    <row r="388">
      <c r="E388" s="126"/>
      <c r="F388" s="126"/>
      <c r="G388" s="126"/>
      <c r="H388" s="126"/>
    </row>
    <row r="389">
      <c r="E389" s="126"/>
      <c r="F389" s="126"/>
      <c r="G389" s="126"/>
      <c r="H389" s="126"/>
    </row>
    <row r="390">
      <c r="E390" s="126"/>
      <c r="F390" s="126"/>
      <c r="G390" s="126"/>
      <c r="H390" s="126"/>
    </row>
    <row r="391">
      <c r="E391" s="126"/>
      <c r="F391" s="126"/>
      <c r="G391" s="126"/>
      <c r="H391" s="126"/>
    </row>
    <row r="392">
      <c r="E392" s="126"/>
      <c r="F392" s="126"/>
      <c r="G392" s="126"/>
      <c r="H392" s="126"/>
    </row>
    <row r="393">
      <c r="E393" s="126"/>
      <c r="F393" s="126"/>
      <c r="G393" s="126"/>
      <c r="H393" s="126"/>
    </row>
    <row r="394">
      <c r="E394" s="126"/>
      <c r="F394" s="126"/>
      <c r="G394" s="126"/>
      <c r="H394" s="126"/>
    </row>
    <row r="395">
      <c r="E395" s="126"/>
      <c r="F395" s="126"/>
      <c r="G395" s="126"/>
      <c r="H395" s="126"/>
    </row>
    <row r="396">
      <c r="E396" s="126"/>
      <c r="F396" s="126"/>
      <c r="G396" s="126"/>
      <c r="H396" s="126"/>
    </row>
    <row r="397">
      <c r="E397" s="126"/>
      <c r="F397" s="126"/>
      <c r="G397" s="126"/>
      <c r="H397" s="126"/>
    </row>
    <row r="398">
      <c r="E398" s="126"/>
      <c r="F398" s="126"/>
      <c r="G398" s="126"/>
      <c r="H398" s="126"/>
    </row>
    <row r="399">
      <c r="E399" s="126"/>
      <c r="F399" s="126"/>
      <c r="G399" s="126"/>
      <c r="H399" s="126"/>
    </row>
    <row r="400">
      <c r="E400" s="126"/>
      <c r="F400" s="126"/>
      <c r="G400" s="126"/>
      <c r="H400" s="126"/>
    </row>
    <row r="401">
      <c r="E401" s="126"/>
      <c r="F401" s="126"/>
      <c r="G401" s="126"/>
      <c r="H401" s="126"/>
    </row>
    <row r="402">
      <c r="E402" s="126"/>
      <c r="F402" s="126"/>
      <c r="G402" s="126"/>
      <c r="H402" s="126"/>
    </row>
    <row r="403">
      <c r="E403" s="126"/>
      <c r="F403" s="126"/>
      <c r="G403" s="126"/>
      <c r="H403" s="126"/>
    </row>
    <row r="404">
      <c r="E404" s="126"/>
      <c r="F404" s="126"/>
      <c r="G404" s="126"/>
      <c r="H404" s="126"/>
    </row>
    <row r="405">
      <c r="E405" s="126"/>
      <c r="F405" s="126"/>
      <c r="G405" s="126"/>
      <c r="H405" s="126"/>
    </row>
    <row r="406">
      <c r="E406" s="126"/>
      <c r="F406" s="126"/>
      <c r="G406" s="126"/>
      <c r="H406" s="126"/>
    </row>
    <row r="407">
      <c r="E407" s="126"/>
      <c r="F407" s="126"/>
      <c r="G407" s="126"/>
      <c r="H407" s="126"/>
    </row>
    <row r="408">
      <c r="E408" s="126"/>
      <c r="F408" s="126"/>
      <c r="G408" s="126"/>
      <c r="H408" s="126"/>
    </row>
    <row r="409">
      <c r="E409" s="126"/>
      <c r="F409" s="126"/>
      <c r="G409" s="126"/>
      <c r="H409" s="126"/>
    </row>
    <row r="410">
      <c r="E410" s="126"/>
      <c r="F410" s="126"/>
      <c r="G410" s="126"/>
      <c r="H410" s="126"/>
    </row>
    <row r="411">
      <c r="E411" s="126"/>
      <c r="F411" s="126"/>
      <c r="G411" s="126"/>
      <c r="H411" s="126"/>
    </row>
    <row r="412">
      <c r="E412" s="126"/>
      <c r="F412" s="126"/>
      <c r="G412" s="126"/>
      <c r="H412" s="126"/>
    </row>
    <row r="413">
      <c r="E413" s="126"/>
      <c r="F413" s="126"/>
      <c r="G413" s="126"/>
      <c r="H413" s="126"/>
    </row>
    <row r="414">
      <c r="E414" s="126"/>
      <c r="F414" s="126"/>
      <c r="G414" s="126"/>
      <c r="H414" s="126"/>
    </row>
    <row r="415">
      <c r="E415" s="126"/>
      <c r="F415" s="126"/>
      <c r="G415" s="126"/>
      <c r="H415" s="126"/>
    </row>
    <row r="416">
      <c r="E416" s="126"/>
      <c r="F416" s="126"/>
      <c r="G416" s="126"/>
      <c r="H416" s="126"/>
    </row>
    <row r="417">
      <c r="E417" s="126"/>
      <c r="F417" s="126"/>
      <c r="G417" s="126"/>
      <c r="H417" s="126"/>
    </row>
    <row r="418">
      <c r="E418" s="126"/>
      <c r="F418" s="126"/>
      <c r="G418" s="126"/>
      <c r="H418" s="126"/>
    </row>
    <row r="419">
      <c r="E419" s="126"/>
      <c r="F419" s="126"/>
      <c r="G419" s="126"/>
      <c r="H419" s="126"/>
    </row>
    <row r="420">
      <c r="E420" s="126"/>
      <c r="F420" s="126"/>
      <c r="G420" s="126"/>
      <c r="H420" s="126"/>
    </row>
    <row r="421">
      <c r="E421" s="126"/>
      <c r="F421" s="126"/>
      <c r="G421" s="126"/>
      <c r="H421" s="126"/>
    </row>
    <row r="422">
      <c r="E422" s="126"/>
      <c r="F422" s="126"/>
      <c r="G422" s="126"/>
      <c r="H422" s="126"/>
    </row>
    <row r="423">
      <c r="E423" s="126"/>
      <c r="F423" s="126"/>
      <c r="G423" s="126"/>
      <c r="H423" s="126"/>
    </row>
    <row r="424">
      <c r="E424" s="126"/>
      <c r="F424" s="126"/>
      <c r="G424" s="126"/>
      <c r="H424" s="126"/>
    </row>
    <row r="425">
      <c r="E425" s="126"/>
      <c r="F425" s="126"/>
      <c r="G425" s="126"/>
      <c r="H425" s="126"/>
    </row>
    <row r="426">
      <c r="E426" s="126"/>
      <c r="F426" s="126"/>
      <c r="G426" s="126"/>
      <c r="H426" s="126"/>
    </row>
    <row r="427">
      <c r="E427" s="126"/>
      <c r="F427" s="126"/>
      <c r="G427" s="126"/>
      <c r="H427" s="126"/>
    </row>
    <row r="428">
      <c r="E428" s="126"/>
      <c r="F428" s="126"/>
      <c r="G428" s="126"/>
      <c r="H428" s="126"/>
    </row>
    <row r="429">
      <c r="E429" s="126"/>
      <c r="F429" s="126"/>
      <c r="G429" s="126"/>
      <c r="H429" s="126"/>
    </row>
    <row r="430">
      <c r="E430" s="126"/>
      <c r="F430" s="126"/>
      <c r="G430" s="126"/>
      <c r="H430" s="126"/>
    </row>
    <row r="431">
      <c r="E431" s="126"/>
      <c r="F431" s="126"/>
      <c r="G431" s="126"/>
      <c r="H431" s="126"/>
    </row>
    <row r="432">
      <c r="E432" s="126"/>
      <c r="F432" s="126"/>
      <c r="G432" s="126"/>
      <c r="H432" s="126"/>
    </row>
    <row r="433">
      <c r="E433" s="126"/>
      <c r="F433" s="126"/>
      <c r="G433" s="126"/>
      <c r="H433" s="126"/>
    </row>
    <row r="434">
      <c r="E434" s="126"/>
      <c r="F434" s="126"/>
      <c r="G434" s="126"/>
      <c r="H434" s="126"/>
    </row>
    <row r="435">
      <c r="E435" s="126"/>
      <c r="F435" s="126"/>
      <c r="G435" s="126"/>
      <c r="H435" s="126"/>
    </row>
    <row r="436">
      <c r="E436" s="126"/>
      <c r="F436" s="126"/>
      <c r="G436" s="126"/>
      <c r="H436" s="126"/>
    </row>
    <row r="437">
      <c r="E437" s="126"/>
      <c r="F437" s="126"/>
      <c r="G437" s="126"/>
      <c r="H437" s="126"/>
    </row>
    <row r="438">
      <c r="E438" s="126"/>
      <c r="F438" s="126"/>
      <c r="G438" s="126"/>
      <c r="H438" s="126"/>
    </row>
    <row r="439">
      <c r="E439" s="126"/>
      <c r="F439" s="126"/>
      <c r="G439" s="126"/>
      <c r="H439" s="126"/>
    </row>
    <row r="440">
      <c r="E440" s="126"/>
      <c r="F440" s="126"/>
      <c r="G440" s="126"/>
      <c r="H440" s="126"/>
    </row>
    <row r="441">
      <c r="E441" s="126"/>
      <c r="F441" s="126"/>
      <c r="G441" s="126"/>
      <c r="H441" s="126"/>
    </row>
    <row r="442">
      <c r="E442" s="126"/>
      <c r="F442" s="126"/>
      <c r="G442" s="126"/>
      <c r="H442" s="126"/>
    </row>
    <row r="443">
      <c r="E443" s="126"/>
      <c r="F443" s="126"/>
      <c r="G443" s="126"/>
      <c r="H443" s="126"/>
    </row>
    <row r="444">
      <c r="E444" s="126"/>
      <c r="F444" s="126"/>
      <c r="G444" s="126"/>
      <c r="H444" s="126"/>
    </row>
    <row r="445">
      <c r="E445" s="126"/>
      <c r="F445" s="126"/>
      <c r="G445" s="126"/>
      <c r="H445" s="126"/>
    </row>
    <row r="446">
      <c r="E446" s="126"/>
      <c r="F446" s="126"/>
      <c r="G446" s="126"/>
      <c r="H446" s="126"/>
    </row>
    <row r="447">
      <c r="E447" s="126"/>
      <c r="F447" s="126"/>
      <c r="G447" s="126"/>
      <c r="H447" s="126"/>
    </row>
    <row r="448">
      <c r="E448" s="126"/>
      <c r="F448" s="126"/>
      <c r="G448" s="126"/>
      <c r="H448" s="126"/>
    </row>
    <row r="449">
      <c r="E449" s="126"/>
      <c r="F449" s="126"/>
      <c r="G449" s="126"/>
      <c r="H449" s="126"/>
    </row>
    <row r="450">
      <c r="E450" s="126"/>
      <c r="F450" s="126"/>
      <c r="G450" s="126"/>
      <c r="H450" s="126"/>
    </row>
    <row r="451">
      <c r="E451" s="126"/>
      <c r="F451" s="126"/>
      <c r="G451" s="126"/>
      <c r="H451" s="126"/>
    </row>
    <row r="452">
      <c r="E452" s="126"/>
      <c r="F452" s="126"/>
      <c r="G452" s="126"/>
      <c r="H452" s="126"/>
    </row>
    <row r="453">
      <c r="E453" s="126"/>
      <c r="F453" s="126"/>
      <c r="G453" s="126"/>
      <c r="H453" s="126"/>
    </row>
    <row r="454">
      <c r="E454" s="126"/>
      <c r="F454" s="126"/>
      <c r="G454" s="126"/>
      <c r="H454" s="126"/>
    </row>
    <row r="455">
      <c r="E455" s="126"/>
      <c r="F455" s="126"/>
      <c r="G455" s="126"/>
      <c r="H455" s="126"/>
    </row>
    <row r="456">
      <c r="E456" s="126"/>
      <c r="F456" s="126"/>
      <c r="G456" s="126"/>
      <c r="H456" s="126"/>
    </row>
    <row r="457">
      <c r="E457" s="126"/>
      <c r="F457" s="126"/>
      <c r="G457" s="126"/>
      <c r="H457" s="126"/>
    </row>
    <row r="458">
      <c r="E458" s="126"/>
      <c r="F458" s="126"/>
      <c r="G458" s="126"/>
      <c r="H458" s="126"/>
    </row>
    <row r="459">
      <c r="E459" s="126"/>
      <c r="F459" s="126"/>
      <c r="G459" s="126"/>
      <c r="H459" s="126"/>
    </row>
    <row r="460">
      <c r="E460" s="126"/>
      <c r="F460" s="126"/>
      <c r="G460" s="126"/>
      <c r="H460" s="126"/>
    </row>
    <row r="461">
      <c r="E461" s="126"/>
      <c r="F461" s="126"/>
      <c r="G461" s="126"/>
      <c r="H461" s="126"/>
    </row>
    <row r="462">
      <c r="E462" s="126"/>
      <c r="F462" s="126"/>
      <c r="G462" s="126"/>
      <c r="H462" s="126"/>
    </row>
    <row r="463">
      <c r="E463" s="126"/>
      <c r="F463" s="126"/>
      <c r="G463" s="126"/>
      <c r="H463" s="126"/>
    </row>
    <row r="464">
      <c r="E464" s="126"/>
      <c r="F464" s="126"/>
      <c r="G464" s="126"/>
      <c r="H464" s="126"/>
    </row>
    <row r="465">
      <c r="E465" s="126"/>
      <c r="F465" s="126"/>
      <c r="G465" s="126"/>
      <c r="H465" s="126"/>
    </row>
    <row r="466">
      <c r="E466" s="126"/>
      <c r="F466" s="126"/>
      <c r="G466" s="126"/>
      <c r="H466" s="126"/>
    </row>
    <row r="467">
      <c r="E467" s="126"/>
      <c r="F467" s="126"/>
      <c r="G467" s="126"/>
      <c r="H467" s="126"/>
    </row>
    <row r="468">
      <c r="E468" s="126"/>
      <c r="F468" s="126"/>
      <c r="G468" s="126"/>
      <c r="H468" s="126"/>
    </row>
    <row r="469">
      <c r="E469" s="126"/>
      <c r="F469" s="126"/>
      <c r="G469" s="126"/>
      <c r="H469" s="126"/>
    </row>
    <row r="470">
      <c r="E470" s="126"/>
      <c r="F470" s="126"/>
      <c r="G470" s="126"/>
      <c r="H470" s="126"/>
    </row>
    <row r="471">
      <c r="E471" s="126"/>
      <c r="F471" s="126"/>
      <c r="G471" s="126"/>
      <c r="H471" s="126"/>
    </row>
    <row r="472">
      <c r="E472" s="126"/>
      <c r="F472" s="126"/>
      <c r="G472" s="126"/>
      <c r="H472" s="126"/>
    </row>
    <row r="473">
      <c r="E473" s="126"/>
      <c r="F473" s="126"/>
      <c r="G473" s="126"/>
      <c r="H473" s="126"/>
    </row>
    <row r="474">
      <c r="E474" s="126"/>
      <c r="F474" s="126"/>
      <c r="G474" s="126"/>
      <c r="H474" s="126"/>
    </row>
    <row r="475">
      <c r="E475" s="126"/>
      <c r="F475" s="126"/>
      <c r="G475" s="126"/>
      <c r="H475" s="126"/>
    </row>
    <row r="476">
      <c r="E476" s="126"/>
      <c r="F476" s="126"/>
      <c r="G476" s="126"/>
      <c r="H476" s="126"/>
    </row>
    <row r="477">
      <c r="E477" s="126"/>
      <c r="F477" s="126"/>
      <c r="G477" s="126"/>
      <c r="H477" s="126"/>
    </row>
    <row r="478">
      <c r="E478" s="126"/>
      <c r="F478" s="126"/>
      <c r="G478" s="126"/>
      <c r="H478" s="126"/>
    </row>
    <row r="479">
      <c r="E479" s="126"/>
      <c r="F479" s="126"/>
      <c r="G479" s="126"/>
      <c r="H479" s="126"/>
    </row>
    <row r="480">
      <c r="E480" s="126"/>
      <c r="F480" s="126"/>
      <c r="G480" s="126"/>
      <c r="H480" s="126"/>
    </row>
    <row r="481">
      <c r="E481" s="126"/>
      <c r="F481" s="126"/>
      <c r="G481" s="126"/>
      <c r="H481" s="126"/>
    </row>
    <row r="482">
      <c r="E482" s="126"/>
      <c r="F482" s="126"/>
      <c r="G482" s="126"/>
      <c r="H482" s="126"/>
    </row>
    <row r="483">
      <c r="E483" s="126"/>
      <c r="F483" s="126"/>
      <c r="G483" s="126"/>
      <c r="H483" s="126"/>
    </row>
    <row r="484">
      <c r="E484" s="126"/>
      <c r="F484" s="126"/>
      <c r="G484" s="126"/>
      <c r="H484" s="126"/>
    </row>
    <row r="485">
      <c r="E485" s="126"/>
      <c r="F485" s="126"/>
      <c r="G485" s="126"/>
      <c r="H485" s="126"/>
    </row>
    <row r="486">
      <c r="E486" s="126"/>
      <c r="F486" s="126"/>
      <c r="G486" s="126"/>
      <c r="H486" s="126"/>
    </row>
    <row r="487">
      <c r="E487" s="126"/>
      <c r="F487" s="126"/>
      <c r="G487" s="126"/>
      <c r="H487" s="126"/>
    </row>
    <row r="488">
      <c r="E488" s="126"/>
      <c r="F488" s="126"/>
      <c r="G488" s="126"/>
      <c r="H488" s="126"/>
    </row>
    <row r="489">
      <c r="E489" s="126"/>
      <c r="F489" s="126"/>
      <c r="G489" s="126"/>
      <c r="H489" s="126"/>
    </row>
    <row r="490">
      <c r="E490" s="126"/>
      <c r="F490" s="126"/>
      <c r="G490" s="126"/>
      <c r="H490" s="126"/>
    </row>
    <row r="491">
      <c r="E491" s="126"/>
      <c r="F491" s="126"/>
      <c r="G491" s="126"/>
      <c r="H491" s="126"/>
    </row>
    <row r="492">
      <c r="E492" s="126"/>
      <c r="F492" s="126"/>
      <c r="G492" s="126"/>
      <c r="H492" s="126"/>
    </row>
    <row r="493">
      <c r="E493" s="126"/>
      <c r="F493" s="126"/>
      <c r="G493" s="126"/>
      <c r="H493" s="126"/>
    </row>
    <row r="494">
      <c r="E494" s="126"/>
      <c r="F494" s="126"/>
      <c r="G494" s="126"/>
      <c r="H494" s="126"/>
    </row>
    <row r="495">
      <c r="E495" s="126"/>
      <c r="F495" s="126"/>
      <c r="G495" s="126"/>
      <c r="H495" s="126"/>
    </row>
    <row r="496">
      <c r="E496" s="126"/>
      <c r="F496" s="126"/>
      <c r="G496" s="126"/>
      <c r="H496" s="126"/>
    </row>
    <row r="497">
      <c r="E497" s="126"/>
      <c r="F497" s="126"/>
      <c r="G497" s="126"/>
      <c r="H497" s="126"/>
    </row>
    <row r="498">
      <c r="E498" s="126"/>
      <c r="F498" s="126"/>
      <c r="G498" s="126"/>
      <c r="H498" s="126"/>
    </row>
    <row r="499">
      <c r="E499" s="126"/>
      <c r="F499" s="126"/>
      <c r="G499" s="126"/>
      <c r="H499" s="126"/>
    </row>
    <row r="500">
      <c r="E500" s="126"/>
      <c r="F500" s="126"/>
      <c r="G500" s="126"/>
      <c r="H500" s="126"/>
    </row>
    <row r="501">
      <c r="E501" s="126"/>
      <c r="F501" s="126"/>
      <c r="G501" s="126"/>
      <c r="H501" s="126"/>
    </row>
    <row r="502">
      <c r="E502" s="126"/>
      <c r="F502" s="126"/>
      <c r="G502" s="126"/>
      <c r="H502" s="126"/>
    </row>
    <row r="503">
      <c r="E503" s="126"/>
      <c r="F503" s="126"/>
      <c r="G503" s="126"/>
      <c r="H503" s="126"/>
    </row>
    <row r="504">
      <c r="E504" s="126"/>
      <c r="F504" s="126"/>
      <c r="G504" s="126"/>
      <c r="H504" s="126"/>
    </row>
    <row r="505">
      <c r="E505" s="126"/>
      <c r="F505" s="126"/>
      <c r="G505" s="126"/>
      <c r="H505" s="126"/>
    </row>
    <row r="506">
      <c r="E506" s="126"/>
      <c r="F506" s="126"/>
      <c r="G506" s="126"/>
      <c r="H506" s="126"/>
    </row>
    <row r="507">
      <c r="E507" s="126"/>
      <c r="F507" s="126"/>
      <c r="G507" s="126"/>
      <c r="H507" s="126"/>
    </row>
    <row r="508">
      <c r="E508" s="126"/>
      <c r="F508" s="126"/>
      <c r="G508" s="126"/>
      <c r="H508" s="126"/>
    </row>
    <row r="509">
      <c r="E509" s="126"/>
      <c r="F509" s="126"/>
      <c r="G509" s="126"/>
      <c r="H509" s="126"/>
    </row>
    <row r="510">
      <c r="E510" s="126"/>
      <c r="F510" s="126"/>
      <c r="G510" s="126"/>
      <c r="H510" s="126"/>
    </row>
    <row r="511">
      <c r="E511" s="126"/>
      <c r="F511" s="126"/>
      <c r="G511" s="126"/>
      <c r="H511" s="126"/>
    </row>
    <row r="512">
      <c r="E512" s="126"/>
      <c r="F512" s="126"/>
      <c r="G512" s="126"/>
      <c r="H512" s="126"/>
    </row>
    <row r="513">
      <c r="E513" s="126"/>
      <c r="F513" s="126"/>
      <c r="G513" s="126"/>
      <c r="H513" s="126"/>
    </row>
    <row r="514">
      <c r="E514" s="126"/>
      <c r="F514" s="126"/>
      <c r="G514" s="126"/>
      <c r="H514" s="126"/>
    </row>
    <row r="515">
      <c r="E515" s="126"/>
      <c r="F515" s="126"/>
      <c r="G515" s="126"/>
      <c r="H515" s="126"/>
    </row>
    <row r="516">
      <c r="E516" s="126"/>
      <c r="F516" s="126"/>
      <c r="G516" s="126"/>
      <c r="H516" s="126"/>
    </row>
    <row r="517">
      <c r="E517" s="126"/>
      <c r="F517" s="126"/>
      <c r="G517" s="126"/>
      <c r="H517" s="126"/>
    </row>
    <row r="518">
      <c r="E518" s="126"/>
      <c r="F518" s="126"/>
      <c r="G518" s="126"/>
      <c r="H518" s="126"/>
    </row>
    <row r="519">
      <c r="E519" s="126"/>
      <c r="F519" s="126"/>
      <c r="G519" s="126"/>
      <c r="H519" s="126"/>
    </row>
    <row r="520">
      <c r="E520" s="126"/>
      <c r="F520" s="126"/>
      <c r="G520" s="126"/>
      <c r="H520" s="126"/>
    </row>
    <row r="521">
      <c r="E521" s="126"/>
      <c r="F521" s="126"/>
      <c r="G521" s="126"/>
      <c r="H521" s="126"/>
    </row>
    <row r="522">
      <c r="E522" s="126"/>
      <c r="F522" s="126"/>
      <c r="G522" s="126"/>
      <c r="H522" s="126"/>
    </row>
    <row r="523">
      <c r="E523" s="126"/>
      <c r="F523" s="126"/>
      <c r="G523" s="126"/>
      <c r="H523" s="126"/>
    </row>
    <row r="524">
      <c r="E524" s="126"/>
      <c r="F524" s="126"/>
      <c r="G524" s="126"/>
      <c r="H524" s="126"/>
    </row>
    <row r="525">
      <c r="E525" s="126"/>
      <c r="F525" s="126"/>
      <c r="G525" s="126"/>
      <c r="H525" s="126"/>
    </row>
    <row r="526">
      <c r="E526" s="126"/>
      <c r="F526" s="126"/>
      <c r="G526" s="126"/>
      <c r="H526" s="126"/>
    </row>
    <row r="527">
      <c r="E527" s="126"/>
      <c r="F527" s="126"/>
      <c r="G527" s="126"/>
      <c r="H527" s="126"/>
    </row>
    <row r="528">
      <c r="E528" s="126"/>
      <c r="F528" s="126"/>
      <c r="G528" s="126"/>
      <c r="H528" s="126"/>
    </row>
    <row r="529">
      <c r="E529" s="126"/>
      <c r="F529" s="126"/>
      <c r="G529" s="126"/>
      <c r="H529" s="126"/>
    </row>
    <row r="530">
      <c r="E530" s="126"/>
      <c r="F530" s="126"/>
      <c r="G530" s="126"/>
      <c r="H530" s="126"/>
    </row>
    <row r="531">
      <c r="E531" s="126"/>
      <c r="F531" s="126"/>
      <c r="G531" s="126"/>
      <c r="H531" s="126"/>
    </row>
    <row r="532">
      <c r="E532" s="126"/>
      <c r="F532" s="126"/>
      <c r="G532" s="126"/>
      <c r="H532" s="126"/>
    </row>
    <row r="533">
      <c r="E533" s="126"/>
      <c r="F533" s="126"/>
      <c r="G533" s="126"/>
      <c r="H533" s="126"/>
    </row>
    <row r="534">
      <c r="E534" s="126"/>
      <c r="F534" s="126"/>
      <c r="G534" s="126"/>
      <c r="H534" s="126"/>
    </row>
    <row r="535">
      <c r="E535" s="126"/>
      <c r="F535" s="126"/>
      <c r="G535" s="126"/>
      <c r="H535" s="126"/>
    </row>
    <row r="536">
      <c r="E536" s="126"/>
      <c r="F536" s="126"/>
      <c r="G536" s="126"/>
      <c r="H536" s="126"/>
    </row>
    <row r="537">
      <c r="E537" s="126"/>
      <c r="F537" s="126"/>
      <c r="G537" s="126"/>
      <c r="H537" s="126"/>
    </row>
    <row r="538">
      <c r="E538" s="126"/>
      <c r="F538" s="126"/>
      <c r="G538" s="126"/>
      <c r="H538" s="126"/>
    </row>
    <row r="539">
      <c r="E539" s="126"/>
      <c r="F539" s="126"/>
      <c r="G539" s="126"/>
      <c r="H539" s="126"/>
    </row>
    <row r="540">
      <c r="E540" s="126"/>
      <c r="F540" s="126"/>
      <c r="G540" s="126"/>
      <c r="H540" s="126"/>
    </row>
    <row r="541">
      <c r="E541" s="126"/>
      <c r="F541" s="126"/>
      <c r="G541" s="126"/>
      <c r="H541" s="126"/>
    </row>
    <row r="542">
      <c r="E542" s="126"/>
      <c r="F542" s="126"/>
      <c r="G542" s="126"/>
      <c r="H542" s="126"/>
    </row>
    <row r="543">
      <c r="E543" s="126"/>
      <c r="F543" s="126"/>
      <c r="G543" s="126"/>
      <c r="H543" s="126"/>
    </row>
    <row r="544">
      <c r="E544" s="126"/>
      <c r="F544" s="126"/>
      <c r="G544" s="126"/>
      <c r="H544" s="126"/>
    </row>
    <row r="545">
      <c r="E545" s="126"/>
      <c r="F545" s="126"/>
      <c r="G545" s="126"/>
      <c r="H545" s="126"/>
    </row>
    <row r="546">
      <c r="E546" s="126"/>
      <c r="F546" s="126"/>
      <c r="G546" s="126"/>
      <c r="H546" s="126"/>
    </row>
    <row r="547">
      <c r="E547" s="126"/>
      <c r="F547" s="126"/>
      <c r="G547" s="126"/>
      <c r="H547" s="126"/>
    </row>
    <row r="548">
      <c r="E548" s="126"/>
      <c r="F548" s="126"/>
      <c r="G548" s="126"/>
      <c r="H548" s="126"/>
    </row>
    <row r="549">
      <c r="E549" s="126"/>
      <c r="F549" s="126"/>
      <c r="G549" s="126"/>
      <c r="H549" s="126"/>
    </row>
    <row r="550">
      <c r="E550" s="126"/>
      <c r="F550" s="126"/>
      <c r="G550" s="126"/>
      <c r="H550" s="126"/>
    </row>
    <row r="551">
      <c r="E551" s="126"/>
      <c r="F551" s="126"/>
      <c r="G551" s="126"/>
      <c r="H551" s="126"/>
    </row>
    <row r="552">
      <c r="E552" s="126"/>
      <c r="F552" s="126"/>
      <c r="G552" s="126"/>
      <c r="H552" s="126"/>
    </row>
    <row r="553">
      <c r="E553" s="126"/>
      <c r="F553" s="126"/>
      <c r="G553" s="126"/>
      <c r="H553" s="126"/>
    </row>
    <row r="554">
      <c r="E554" s="126"/>
      <c r="F554" s="126"/>
      <c r="G554" s="126"/>
      <c r="H554" s="126"/>
    </row>
    <row r="555">
      <c r="E555" s="126"/>
      <c r="F555" s="126"/>
      <c r="G555" s="126"/>
      <c r="H555" s="126"/>
    </row>
    <row r="556">
      <c r="E556" s="126"/>
      <c r="F556" s="126"/>
      <c r="G556" s="126"/>
      <c r="H556" s="126"/>
    </row>
    <row r="557">
      <c r="E557" s="126"/>
      <c r="F557" s="126"/>
      <c r="G557" s="126"/>
      <c r="H557" s="126"/>
    </row>
    <row r="558">
      <c r="E558" s="126"/>
      <c r="F558" s="126"/>
      <c r="G558" s="126"/>
      <c r="H558" s="126"/>
    </row>
    <row r="559">
      <c r="E559" s="126"/>
      <c r="F559" s="126"/>
      <c r="G559" s="126"/>
      <c r="H559" s="126"/>
    </row>
    <row r="560">
      <c r="E560" s="126"/>
      <c r="F560" s="126"/>
      <c r="G560" s="126"/>
      <c r="H560" s="126"/>
    </row>
    <row r="561">
      <c r="E561" s="126"/>
      <c r="F561" s="126"/>
      <c r="G561" s="126"/>
      <c r="H561" s="126"/>
    </row>
    <row r="562">
      <c r="E562" s="126"/>
      <c r="F562" s="126"/>
      <c r="G562" s="126"/>
      <c r="H562" s="126"/>
    </row>
    <row r="563">
      <c r="E563" s="126"/>
      <c r="F563" s="126"/>
      <c r="G563" s="126"/>
      <c r="H563" s="126"/>
    </row>
    <row r="564">
      <c r="E564" s="126"/>
      <c r="F564" s="126"/>
      <c r="G564" s="126"/>
      <c r="H564" s="126"/>
    </row>
    <row r="565">
      <c r="E565" s="126"/>
      <c r="F565" s="126"/>
      <c r="G565" s="126"/>
      <c r="H565" s="126"/>
    </row>
    <row r="566">
      <c r="E566" s="126"/>
      <c r="F566" s="126"/>
      <c r="G566" s="126"/>
      <c r="H566" s="126"/>
    </row>
    <row r="567">
      <c r="E567" s="126"/>
      <c r="F567" s="126"/>
      <c r="G567" s="126"/>
      <c r="H567" s="126"/>
    </row>
    <row r="568">
      <c r="E568" s="126"/>
      <c r="F568" s="126"/>
      <c r="G568" s="126"/>
      <c r="H568" s="126"/>
    </row>
    <row r="569">
      <c r="E569" s="126"/>
      <c r="F569" s="126"/>
      <c r="G569" s="126"/>
      <c r="H569" s="126"/>
    </row>
    <row r="570">
      <c r="E570" s="126"/>
      <c r="F570" s="126"/>
      <c r="G570" s="126"/>
      <c r="H570" s="126"/>
    </row>
    <row r="571">
      <c r="E571" s="126"/>
      <c r="F571" s="126"/>
      <c r="G571" s="126"/>
      <c r="H571" s="126"/>
    </row>
    <row r="572">
      <c r="E572" s="126"/>
      <c r="F572" s="126"/>
      <c r="G572" s="126"/>
      <c r="H572" s="126"/>
    </row>
    <row r="573">
      <c r="E573" s="126"/>
      <c r="F573" s="126"/>
      <c r="G573" s="126"/>
      <c r="H573" s="126"/>
    </row>
    <row r="574">
      <c r="E574" s="126"/>
      <c r="F574" s="126"/>
      <c r="G574" s="126"/>
      <c r="H574" s="126"/>
    </row>
    <row r="575">
      <c r="E575" s="126"/>
      <c r="F575" s="126"/>
      <c r="G575" s="126"/>
      <c r="H575" s="126"/>
    </row>
    <row r="576">
      <c r="E576" s="126"/>
      <c r="F576" s="126"/>
      <c r="G576" s="126"/>
      <c r="H576" s="126"/>
    </row>
    <row r="577">
      <c r="E577" s="126"/>
      <c r="F577" s="126"/>
      <c r="G577" s="126"/>
      <c r="H577" s="126"/>
    </row>
    <row r="578">
      <c r="E578" s="126"/>
      <c r="F578" s="126"/>
      <c r="G578" s="126"/>
      <c r="H578" s="126"/>
    </row>
    <row r="579">
      <c r="E579" s="126"/>
      <c r="F579" s="126"/>
      <c r="G579" s="126"/>
      <c r="H579" s="126"/>
    </row>
    <row r="580">
      <c r="E580" s="126"/>
      <c r="F580" s="126"/>
      <c r="G580" s="126"/>
      <c r="H580" s="126"/>
    </row>
    <row r="581">
      <c r="E581" s="126"/>
      <c r="F581" s="126"/>
      <c r="G581" s="126"/>
      <c r="H581" s="126"/>
    </row>
    <row r="582">
      <c r="E582" s="126"/>
      <c r="F582" s="126"/>
      <c r="G582" s="126"/>
      <c r="H582" s="126"/>
    </row>
    <row r="583">
      <c r="E583" s="126"/>
      <c r="F583" s="126"/>
      <c r="G583" s="126"/>
      <c r="H583" s="126"/>
    </row>
    <row r="584">
      <c r="E584" s="126"/>
      <c r="F584" s="126"/>
      <c r="G584" s="126"/>
      <c r="H584" s="126"/>
    </row>
    <row r="585">
      <c r="E585" s="126"/>
      <c r="F585" s="126"/>
      <c r="G585" s="126"/>
      <c r="H585" s="126"/>
    </row>
    <row r="586">
      <c r="E586" s="126"/>
      <c r="F586" s="126"/>
      <c r="G586" s="126"/>
      <c r="H586" s="126"/>
    </row>
    <row r="587">
      <c r="E587" s="126"/>
      <c r="F587" s="126"/>
      <c r="G587" s="126"/>
      <c r="H587" s="126"/>
    </row>
    <row r="588">
      <c r="E588" s="126"/>
      <c r="F588" s="126"/>
      <c r="G588" s="126"/>
      <c r="H588" s="126"/>
    </row>
    <row r="589">
      <c r="E589" s="126"/>
      <c r="F589" s="126"/>
      <c r="G589" s="126"/>
      <c r="H589" s="126"/>
    </row>
    <row r="590">
      <c r="E590" s="126"/>
      <c r="F590" s="126"/>
      <c r="G590" s="126"/>
      <c r="H590" s="126"/>
    </row>
    <row r="591">
      <c r="E591" s="126"/>
      <c r="F591" s="126"/>
      <c r="G591" s="126"/>
      <c r="H591" s="126"/>
    </row>
    <row r="592">
      <c r="E592" s="126"/>
      <c r="F592" s="126"/>
      <c r="G592" s="126"/>
      <c r="H592" s="126"/>
    </row>
    <row r="593">
      <c r="E593" s="126"/>
      <c r="F593" s="126"/>
      <c r="G593" s="126"/>
      <c r="H593" s="126"/>
    </row>
    <row r="594">
      <c r="E594" s="126"/>
      <c r="F594" s="126"/>
      <c r="G594" s="126"/>
      <c r="H594" s="126"/>
    </row>
    <row r="595">
      <c r="E595" s="126"/>
      <c r="F595" s="126"/>
      <c r="G595" s="126"/>
      <c r="H595" s="126"/>
    </row>
    <row r="596">
      <c r="E596" s="126"/>
      <c r="F596" s="126"/>
      <c r="G596" s="126"/>
      <c r="H596" s="126"/>
    </row>
    <row r="597">
      <c r="E597" s="126"/>
      <c r="F597" s="126"/>
      <c r="G597" s="126"/>
      <c r="H597" s="126"/>
    </row>
    <row r="598">
      <c r="E598" s="126"/>
      <c r="F598" s="126"/>
      <c r="G598" s="126"/>
      <c r="H598" s="126"/>
    </row>
    <row r="599">
      <c r="E599" s="126"/>
      <c r="F599" s="126"/>
      <c r="G599" s="126"/>
      <c r="H599" s="126"/>
    </row>
    <row r="600">
      <c r="E600" s="126"/>
      <c r="F600" s="126"/>
      <c r="G600" s="126"/>
      <c r="H600" s="126"/>
    </row>
    <row r="601">
      <c r="E601" s="126"/>
      <c r="F601" s="126"/>
      <c r="G601" s="126"/>
      <c r="H601" s="126"/>
    </row>
    <row r="602">
      <c r="E602" s="126"/>
      <c r="F602" s="126"/>
      <c r="G602" s="126"/>
      <c r="H602" s="126"/>
    </row>
    <row r="603">
      <c r="E603" s="126"/>
      <c r="F603" s="126"/>
      <c r="G603" s="126"/>
      <c r="H603" s="126"/>
    </row>
    <row r="604">
      <c r="E604" s="126"/>
      <c r="F604" s="126"/>
      <c r="G604" s="126"/>
      <c r="H604" s="126"/>
    </row>
    <row r="605">
      <c r="E605" s="126"/>
      <c r="F605" s="126"/>
      <c r="G605" s="126"/>
      <c r="H605" s="126"/>
    </row>
    <row r="606">
      <c r="E606" s="126"/>
      <c r="F606" s="126"/>
      <c r="G606" s="126"/>
      <c r="H606" s="126"/>
    </row>
    <row r="607">
      <c r="E607" s="126"/>
      <c r="F607" s="126"/>
      <c r="G607" s="126"/>
      <c r="H607" s="126"/>
    </row>
    <row r="608">
      <c r="E608" s="126"/>
      <c r="F608" s="126"/>
      <c r="G608" s="126"/>
      <c r="H608" s="126"/>
    </row>
    <row r="609">
      <c r="E609" s="126"/>
      <c r="F609" s="126"/>
      <c r="G609" s="126"/>
      <c r="H609" s="126"/>
    </row>
    <row r="610">
      <c r="E610" s="126"/>
      <c r="F610" s="126"/>
      <c r="G610" s="126"/>
      <c r="H610" s="126"/>
    </row>
    <row r="611">
      <c r="E611" s="126"/>
      <c r="F611" s="126"/>
      <c r="G611" s="126"/>
      <c r="H611" s="126"/>
    </row>
    <row r="612">
      <c r="E612" s="126"/>
      <c r="F612" s="126"/>
      <c r="G612" s="126"/>
      <c r="H612" s="126"/>
    </row>
    <row r="613">
      <c r="E613" s="126"/>
      <c r="F613" s="126"/>
      <c r="G613" s="126"/>
      <c r="H613" s="126"/>
    </row>
    <row r="614">
      <c r="E614" s="126"/>
      <c r="F614" s="126"/>
      <c r="G614" s="126"/>
      <c r="H614" s="126"/>
    </row>
    <row r="615">
      <c r="E615" s="126"/>
      <c r="F615" s="126"/>
      <c r="G615" s="126"/>
      <c r="H615" s="126"/>
    </row>
    <row r="616">
      <c r="E616" s="126"/>
      <c r="F616" s="126"/>
      <c r="G616" s="126"/>
      <c r="H616" s="126"/>
    </row>
    <row r="617">
      <c r="E617" s="126"/>
      <c r="F617" s="126"/>
      <c r="G617" s="126"/>
      <c r="H617" s="126"/>
    </row>
    <row r="618">
      <c r="E618" s="126"/>
      <c r="F618" s="126"/>
      <c r="G618" s="126"/>
      <c r="H618" s="126"/>
    </row>
    <row r="619">
      <c r="E619" s="126"/>
      <c r="F619" s="126"/>
      <c r="G619" s="126"/>
      <c r="H619" s="126"/>
    </row>
    <row r="620">
      <c r="E620" s="126"/>
      <c r="F620" s="126"/>
      <c r="G620" s="126"/>
      <c r="H620" s="126"/>
    </row>
    <row r="621">
      <c r="E621" s="126"/>
      <c r="F621" s="126"/>
      <c r="G621" s="126"/>
      <c r="H621" s="126"/>
    </row>
    <row r="622">
      <c r="E622" s="126"/>
      <c r="F622" s="126"/>
      <c r="G622" s="126"/>
      <c r="H622" s="126"/>
    </row>
    <row r="623">
      <c r="E623" s="126"/>
      <c r="F623" s="126"/>
      <c r="G623" s="126"/>
      <c r="H623" s="126"/>
    </row>
    <row r="624">
      <c r="E624" s="126"/>
      <c r="F624" s="126"/>
      <c r="G624" s="126"/>
      <c r="H624" s="126"/>
    </row>
    <row r="625">
      <c r="E625" s="126"/>
      <c r="F625" s="126"/>
      <c r="G625" s="126"/>
      <c r="H625" s="126"/>
    </row>
    <row r="626">
      <c r="E626" s="126"/>
      <c r="F626" s="126"/>
      <c r="G626" s="126"/>
      <c r="H626" s="126"/>
    </row>
    <row r="627">
      <c r="E627" s="126"/>
      <c r="F627" s="126"/>
      <c r="G627" s="126"/>
      <c r="H627" s="126"/>
    </row>
    <row r="628">
      <c r="E628" s="126"/>
      <c r="F628" s="126"/>
      <c r="G628" s="126"/>
      <c r="H628" s="126"/>
    </row>
    <row r="629">
      <c r="E629" s="126"/>
      <c r="F629" s="126"/>
      <c r="G629" s="126"/>
      <c r="H629" s="126"/>
    </row>
    <row r="630">
      <c r="E630" s="126"/>
      <c r="F630" s="126"/>
      <c r="G630" s="126"/>
      <c r="H630" s="126"/>
    </row>
    <row r="631">
      <c r="E631" s="126"/>
      <c r="F631" s="126"/>
      <c r="G631" s="126"/>
      <c r="H631" s="126"/>
    </row>
    <row r="632">
      <c r="E632" s="126"/>
      <c r="F632" s="126"/>
      <c r="G632" s="126"/>
      <c r="H632" s="126"/>
    </row>
    <row r="633">
      <c r="E633" s="126"/>
      <c r="F633" s="126"/>
      <c r="G633" s="126"/>
      <c r="H633" s="126"/>
    </row>
    <row r="634">
      <c r="E634" s="126"/>
      <c r="F634" s="126"/>
      <c r="G634" s="126"/>
      <c r="H634" s="126"/>
    </row>
    <row r="635">
      <c r="E635" s="126"/>
      <c r="F635" s="126"/>
      <c r="G635" s="126"/>
      <c r="H635" s="126"/>
    </row>
    <row r="636">
      <c r="E636" s="126"/>
      <c r="F636" s="126"/>
      <c r="G636" s="126"/>
      <c r="H636" s="126"/>
    </row>
    <row r="637">
      <c r="E637" s="126"/>
      <c r="F637" s="126"/>
      <c r="G637" s="126"/>
      <c r="H637" s="126"/>
    </row>
    <row r="638">
      <c r="E638" s="126"/>
      <c r="F638" s="126"/>
      <c r="G638" s="126"/>
      <c r="H638" s="126"/>
    </row>
    <row r="639">
      <c r="E639" s="126"/>
      <c r="F639" s="126"/>
      <c r="G639" s="126"/>
      <c r="H639" s="126"/>
    </row>
    <row r="640">
      <c r="E640" s="126"/>
      <c r="F640" s="126"/>
      <c r="G640" s="126"/>
      <c r="H640" s="126"/>
    </row>
    <row r="641">
      <c r="E641" s="126"/>
      <c r="F641" s="126"/>
      <c r="G641" s="126"/>
      <c r="H641" s="126"/>
    </row>
    <row r="642">
      <c r="E642" s="126"/>
      <c r="F642" s="126"/>
      <c r="G642" s="126"/>
      <c r="H642" s="126"/>
    </row>
    <row r="643">
      <c r="E643" s="126"/>
      <c r="F643" s="126"/>
      <c r="G643" s="126"/>
      <c r="H643" s="126"/>
    </row>
    <row r="644">
      <c r="E644" s="126"/>
      <c r="F644" s="126"/>
      <c r="G644" s="126"/>
      <c r="H644" s="126"/>
    </row>
    <row r="645">
      <c r="E645" s="126"/>
      <c r="F645" s="126"/>
      <c r="G645" s="126"/>
      <c r="H645" s="126"/>
    </row>
    <row r="646">
      <c r="E646" s="126"/>
      <c r="F646" s="126"/>
      <c r="G646" s="126"/>
      <c r="H646" s="126"/>
    </row>
    <row r="647">
      <c r="E647" s="126"/>
      <c r="F647" s="126"/>
      <c r="G647" s="126"/>
      <c r="H647" s="126"/>
    </row>
    <row r="648">
      <c r="E648" s="126"/>
      <c r="F648" s="126"/>
      <c r="G648" s="126"/>
      <c r="H648" s="126"/>
    </row>
    <row r="649">
      <c r="E649" s="126"/>
      <c r="F649" s="126"/>
      <c r="G649" s="126"/>
      <c r="H649" s="126"/>
    </row>
    <row r="650">
      <c r="E650" s="126"/>
      <c r="F650" s="126"/>
      <c r="G650" s="126"/>
      <c r="H650" s="126"/>
    </row>
    <row r="651">
      <c r="E651" s="126"/>
      <c r="F651" s="126"/>
      <c r="G651" s="126"/>
      <c r="H651" s="126"/>
    </row>
    <row r="652">
      <c r="E652" s="126"/>
      <c r="F652" s="126"/>
      <c r="G652" s="126"/>
      <c r="H652" s="126"/>
    </row>
    <row r="653">
      <c r="E653" s="126"/>
      <c r="F653" s="126"/>
      <c r="G653" s="126"/>
      <c r="H653" s="126"/>
    </row>
    <row r="654">
      <c r="E654" s="126"/>
      <c r="F654" s="126"/>
      <c r="G654" s="126"/>
      <c r="H654" s="126"/>
    </row>
    <row r="655">
      <c r="E655" s="126"/>
      <c r="F655" s="126"/>
      <c r="G655" s="126"/>
      <c r="H655" s="126"/>
    </row>
    <row r="656">
      <c r="E656" s="126"/>
      <c r="F656" s="126"/>
      <c r="G656" s="126"/>
      <c r="H656" s="126"/>
    </row>
    <row r="657">
      <c r="E657" s="126"/>
      <c r="F657" s="126"/>
      <c r="G657" s="126"/>
      <c r="H657" s="126"/>
    </row>
    <row r="658">
      <c r="E658" s="126"/>
      <c r="F658" s="126"/>
      <c r="G658" s="126"/>
      <c r="H658" s="126"/>
    </row>
    <row r="659">
      <c r="E659" s="126"/>
      <c r="F659" s="126"/>
      <c r="G659" s="126"/>
      <c r="H659" s="126"/>
    </row>
    <row r="660">
      <c r="E660" s="126"/>
      <c r="F660" s="126"/>
      <c r="G660" s="126"/>
      <c r="H660" s="126"/>
    </row>
    <row r="661">
      <c r="E661" s="126"/>
      <c r="F661" s="126"/>
      <c r="G661" s="126"/>
      <c r="H661" s="126"/>
    </row>
    <row r="662">
      <c r="E662" s="126"/>
      <c r="F662" s="126"/>
      <c r="G662" s="126"/>
      <c r="H662" s="126"/>
    </row>
    <row r="663">
      <c r="E663" s="126"/>
      <c r="F663" s="126"/>
      <c r="G663" s="126"/>
      <c r="H663" s="126"/>
    </row>
    <row r="664">
      <c r="E664" s="126"/>
      <c r="F664" s="126"/>
      <c r="G664" s="126"/>
      <c r="H664" s="126"/>
    </row>
    <row r="665">
      <c r="E665" s="126"/>
      <c r="F665" s="126"/>
      <c r="G665" s="126"/>
      <c r="H665" s="126"/>
    </row>
    <row r="666">
      <c r="E666" s="126"/>
      <c r="F666" s="126"/>
      <c r="G666" s="126"/>
      <c r="H666" s="126"/>
    </row>
    <row r="667">
      <c r="E667" s="126"/>
      <c r="F667" s="126"/>
      <c r="G667" s="126"/>
      <c r="H667" s="126"/>
    </row>
    <row r="668">
      <c r="E668" s="126"/>
      <c r="F668" s="126"/>
      <c r="G668" s="126"/>
      <c r="H668" s="126"/>
    </row>
    <row r="669">
      <c r="E669" s="126"/>
      <c r="F669" s="126"/>
      <c r="G669" s="126"/>
      <c r="H669" s="126"/>
    </row>
    <row r="670">
      <c r="E670" s="126"/>
      <c r="F670" s="126"/>
      <c r="G670" s="126"/>
      <c r="H670" s="126"/>
    </row>
    <row r="671">
      <c r="E671" s="126"/>
      <c r="F671" s="126"/>
      <c r="G671" s="126"/>
      <c r="H671" s="126"/>
    </row>
    <row r="672">
      <c r="E672" s="126"/>
      <c r="F672" s="126"/>
      <c r="G672" s="126"/>
      <c r="H672" s="126"/>
    </row>
    <row r="673">
      <c r="E673" s="126"/>
      <c r="F673" s="126"/>
      <c r="G673" s="126"/>
      <c r="H673" s="126"/>
    </row>
    <row r="674">
      <c r="E674" s="126"/>
      <c r="F674" s="126"/>
      <c r="G674" s="126"/>
      <c r="H674" s="126"/>
    </row>
    <row r="675">
      <c r="E675" s="126"/>
      <c r="F675" s="126"/>
      <c r="G675" s="126"/>
      <c r="H675" s="126"/>
    </row>
    <row r="676">
      <c r="E676" s="126"/>
      <c r="F676" s="126"/>
      <c r="G676" s="126"/>
      <c r="H676" s="126"/>
    </row>
    <row r="677">
      <c r="E677" s="126"/>
      <c r="F677" s="126"/>
      <c r="G677" s="126"/>
      <c r="H677" s="126"/>
    </row>
    <row r="678">
      <c r="E678" s="126"/>
      <c r="F678" s="126"/>
      <c r="G678" s="126"/>
      <c r="H678" s="126"/>
    </row>
    <row r="679">
      <c r="E679" s="126"/>
      <c r="F679" s="126"/>
      <c r="G679" s="126"/>
      <c r="H679" s="126"/>
    </row>
    <row r="680">
      <c r="E680" s="126"/>
      <c r="F680" s="126"/>
      <c r="G680" s="126"/>
      <c r="H680" s="126"/>
    </row>
    <row r="681">
      <c r="E681" s="126"/>
      <c r="F681" s="126"/>
      <c r="G681" s="126"/>
      <c r="H681" s="126"/>
    </row>
    <row r="682">
      <c r="E682" s="126"/>
      <c r="F682" s="126"/>
      <c r="G682" s="126"/>
      <c r="H682" s="126"/>
    </row>
    <row r="683">
      <c r="E683" s="126"/>
      <c r="F683" s="126"/>
      <c r="G683" s="126"/>
      <c r="H683" s="126"/>
    </row>
    <row r="684">
      <c r="E684" s="126"/>
      <c r="F684" s="126"/>
      <c r="G684" s="126"/>
      <c r="H684" s="126"/>
    </row>
    <row r="685">
      <c r="E685" s="126"/>
      <c r="F685" s="126"/>
      <c r="G685" s="126"/>
      <c r="H685" s="126"/>
    </row>
    <row r="686">
      <c r="E686" s="126"/>
      <c r="F686" s="126"/>
      <c r="G686" s="126"/>
      <c r="H686" s="126"/>
    </row>
    <row r="687">
      <c r="E687" s="126"/>
      <c r="F687" s="126"/>
      <c r="G687" s="126"/>
      <c r="H687" s="126"/>
    </row>
    <row r="688">
      <c r="E688" s="126"/>
      <c r="F688" s="126"/>
      <c r="G688" s="126"/>
      <c r="H688" s="126"/>
    </row>
    <row r="689">
      <c r="E689" s="126"/>
      <c r="F689" s="126"/>
      <c r="G689" s="126"/>
      <c r="H689" s="126"/>
    </row>
    <row r="690">
      <c r="E690" s="126"/>
      <c r="F690" s="126"/>
      <c r="G690" s="126"/>
      <c r="H690" s="126"/>
    </row>
    <row r="691">
      <c r="E691" s="126"/>
      <c r="F691" s="126"/>
      <c r="G691" s="126"/>
      <c r="H691" s="126"/>
    </row>
    <row r="692">
      <c r="E692" s="126"/>
      <c r="F692" s="126"/>
      <c r="G692" s="126"/>
      <c r="H692" s="126"/>
    </row>
    <row r="693">
      <c r="E693" s="126"/>
      <c r="F693" s="126"/>
      <c r="G693" s="126"/>
      <c r="H693" s="126"/>
    </row>
    <row r="694">
      <c r="E694" s="126"/>
      <c r="F694" s="126"/>
      <c r="G694" s="126"/>
      <c r="H694" s="126"/>
    </row>
    <row r="695">
      <c r="E695" s="126"/>
      <c r="F695" s="126"/>
      <c r="G695" s="126"/>
      <c r="H695" s="126"/>
    </row>
    <row r="696">
      <c r="E696" s="126"/>
      <c r="F696" s="126"/>
      <c r="G696" s="126"/>
      <c r="H696" s="126"/>
    </row>
    <row r="697">
      <c r="E697" s="126"/>
      <c r="F697" s="126"/>
      <c r="G697" s="126"/>
      <c r="H697" s="126"/>
    </row>
    <row r="698">
      <c r="E698" s="126"/>
      <c r="F698" s="126"/>
      <c r="G698" s="126"/>
      <c r="H698" s="126"/>
    </row>
    <row r="699">
      <c r="E699" s="126"/>
      <c r="F699" s="126"/>
      <c r="G699" s="126"/>
      <c r="H699" s="126"/>
    </row>
    <row r="700">
      <c r="E700" s="126"/>
      <c r="F700" s="126"/>
      <c r="G700" s="126"/>
      <c r="H700" s="126"/>
    </row>
    <row r="701">
      <c r="E701" s="126"/>
      <c r="F701" s="126"/>
      <c r="G701" s="126"/>
      <c r="H701" s="126"/>
    </row>
    <row r="702">
      <c r="E702" s="126"/>
      <c r="F702" s="126"/>
      <c r="G702" s="126"/>
      <c r="H702" s="126"/>
    </row>
    <row r="703">
      <c r="E703" s="126"/>
      <c r="F703" s="126"/>
      <c r="G703" s="126"/>
      <c r="H703" s="126"/>
    </row>
    <row r="704">
      <c r="E704" s="126"/>
      <c r="F704" s="126"/>
      <c r="G704" s="126"/>
      <c r="H704" s="126"/>
    </row>
    <row r="705">
      <c r="E705" s="126"/>
      <c r="F705" s="126"/>
      <c r="G705" s="126"/>
      <c r="H705" s="126"/>
    </row>
    <row r="706">
      <c r="E706" s="126"/>
      <c r="F706" s="126"/>
      <c r="G706" s="126"/>
      <c r="H706" s="126"/>
    </row>
    <row r="707">
      <c r="E707" s="126"/>
      <c r="F707" s="126"/>
      <c r="G707" s="126"/>
      <c r="H707" s="126"/>
    </row>
    <row r="708">
      <c r="E708" s="126"/>
      <c r="F708" s="126"/>
      <c r="G708" s="126"/>
      <c r="H708" s="126"/>
    </row>
    <row r="709">
      <c r="E709" s="126"/>
      <c r="F709" s="126"/>
      <c r="G709" s="126"/>
      <c r="H709" s="126"/>
    </row>
    <row r="710">
      <c r="E710" s="126"/>
      <c r="F710" s="126"/>
      <c r="G710" s="126"/>
      <c r="H710" s="126"/>
    </row>
    <row r="711">
      <c r="E711" s="126"/>
      <c r="F711" s="126"/>
      <c r="G711" s="126"/>
      <c r="H711" s="126"/>
    </row>
    <row r="712">
      <c r="E712" s="126"/>
      <c r="F712" s="126"/>
      <c r="G712" s="126"/>
      <c r="H712" s="126"/>
    </row>
    <row r="713">
      <c r="E713" s="126"/>
      <c r="F713" s="126"/>
      <c r="G713" s="126"/>
      <c r="H713" s="126"/>
    </row>
    <row r="714">
      <c r="E714" s="126"/>
      <c r="F714" s="126"/>
      <c r="G714" s="126"/>
      <c r="H714" s="126"/>
    </row>
    <row r="715">
      <c r="E715" s="126"/>
      <c r="F715" s="126"/>
      <c r="G715" s="126"/>
      <c r="H715" s="126"/>
    </row>
    <row r="716">
      <c r="E716" s="126"/>
      <c r="F716" s="126"/>
      <c r="G716" s="126"/>
      <c r="H716" s="126"/>
    </row>
    <row r="717">
      <c r="E717" s="126"/>
      <c r="F717" s="126"/>
      <c r="G717" s="126"/>
      <c r="H717" s="126"/>
    </row>
    <row r="718">
      <c r="E718" s="126"/>
      <c r="F718" s="126"/>
      <c r="G718" s="126"/>
      <c r="H718" s="126"/>
    </row>
    <row r="719">
      <c r="E719" s="126"/>
      <c r="F719" s="126"/>
      <c r="G719" s="126"/>
      <c r="H719" s="126"/>
    </row>
    <row r="720">
      <c r="E720" s="126"/>
      <c r="F720" s="126"/>
      <c r="G720" s="126"/>
      <c r="H720" s="126"/>
    </row>
    <row r="721">
      <c r="E721" s="126"/>
      <c r="F721" s="126"/>
      <c r="G721" s="126"/>
      <c r="H721" s="126"/>
    </row>
    <row r="722">
      <c r="E722" s="126"/>
      <c r="F722" s="126"/>
      <c r="G722" s="126"/>
      <c r="H722" s="126"/>
    </row>
    <row r="723">
      <c r="E723" s="126"/>
      <c r="F723" s="126"/>
      <c r="G723" s="126"/>
      <c r="H723" s="126"/>
    </row>
    <row r="724">
      <c r="E724" s="126"/>
      <c r="F724" s="126"/>
      <c r="G724" s="126"/>
      <c r="H724" s="126"/>
    </row>
    <row r="725">
      <c r="E725" s="126"/>
      <c r="F725" s="126"/>
      <c r="G725" s="126"/>
      <c r="H725" s="126"/>
    </row>
    <row r="726">
      <c r="E726" s="126"/>
      <c r="F726" s="126"/>
      <c r="G726" s="126"/>
      <c r="H726" s="126"/>
    </row>
    <row r="727">
      <c r="E727" s="126"/>
      <c r="F727" s="126"/>
      <c r="G727" s="126"/>
      <c r="H727" s="126"/>
    </row>
    <row r="728">
      <c r="E728" s="126"/>
      <c r="F728" s="126"/>
      <c r="G728" s="126"/>
      <c r="H728" s="126"/>
    </row>
    <row r="729">
      <c r="E729" s="126"/>
      <c r="F729" s="126"/>
      <c r="G729" s="126"/>
      <c r="H729" s="126"/>
    </row>
    <row r="730">
      <c r="E730" s="126"/>
      <c r="F730" s="126"/>
      <c r="G730" s="126"/>
      <c r="H730" s="126"/>
    </row>
    <row r="731">
      <c r="E731" s="126"/>
      <c r="F731" s="126"/>
      <c r="G731" s="126"/>
      <c r="H731" s="126"/>
    </row>
    <row r="732">
      <c r="E732" s="126"/>
      <c r="F732" s="126"/>
      <c r="G732" s="126"/>
      <c r="H732" s="126"/>
    </row>
    <row r="733">
      <c r="E733" s="126"/>
      <c r="F733" s="126"/>
      <c r="G733" s="126"/>
      <c r="H733" s="126"/>
    </row>
    <row r="734">
      <c r="E734" s="126"/>
      <c r="F734" s="126"/>
      <c r="G734" s="126"/>
      <c r="H734" s="126"/>
    </row>
    <row r="735">
      <c r="E735" s="126"/>
      <c r="F735" s="126"/>
      <c r="G735" s="126"/>
      <c r="H735" s="126"/>
    </row>
    <row r="736">
      <c r="E736" s="126"/>
      <c r="F736" s="126"/>
      <c r="G736" s="126"/>
      <c r="H736" s="126"/>
    </row>
    <row r="737">
      <c r="E737" s="126"/>
      <c r="F737" s="126"/>
      <c r="G737" s="126"/>
      <c r="H737" s="126"/>
    </row>
    <row r="738">
      <c r="E738" s="126"/>
      <c r="F738" s="126"/>
      <c r="G738" s="126"/>
      <c r="H738" s="126"/>
    </row>
    <row r="739">
      <c r="E739" s="126"/>
      <c r="F739" s="126"/>
      <c r="G739" s="126"/>
      <c r="H739" s="126"/>
    </row>
    <row r="740">
      <c r="E740" s="126"/>
      <c r="F740" s="126"/>
      <c r="G740" s="126"/>
      <c r="H740" s="126"/>
    </row>
    <row r="741">
      <c r="E741" s="126"/>
      <c r="F741" s="126"/>
      <c r="G741" s="126"/>
      <c r="H741" s="126"/>
    </row>
    <row r="742">
      <c r="E742" s="126"/>
      <c r="F742" s="126"/>
      <c r="G742" s="126"/>
      <c r="H742" s="126"/>
    </row>
    <row r="743">
      <c r="E743" s="126"/>
      <c r="F743" s="126"/>
      <c r="G743" s="126"/>
      <c r="H743" s="126"/>
    </row>
    <row r="744">
      <c r="E744" s="126"/>
      <c r="F744" s="126"/>
      <c r="G744" s="126"/>
      <c r="H744" s="126"/>
    </row>
    <row r="745">
      <c r="E745" s="126"/>
      <c r="F745" s="126"/>
      <c r="G745" s="126"/>
      <c r="H745" s="126"/>
    </row>
    <row r="746">
      <c r="E746" s="126"/>
      <c r="F746" s="126"/>
      <c r="G746" s="126"/>
      <c r="H746" s="126"/>
    </row>
    <row r="747">
      <c r="E747" s="126"/>
      <c r="F747" s="126"/>
      <c r="G747" s="126"/>
      <c r="H747" s="126"/>
    </row>
    <row r="748">
      <c r="E748" s="126"/>
      <c r="F748" s="126"/>
      <c r="G748" s="126"/>
      <c r="H748" s="126"/>
    </row>
    <row r="749">
      <c r="E749" s="126"/>
      <c r="F749" s="126"/>
      <c r="G749" s="126"/>
      <c r="H749" s="126"/>
    </row>
    <row r="750">
      <c r="E750" s="126"/>
      <c r="F750" s="126"/>
      <c r="G750" s="126"/>
      <c r="H750" s="126"/>
    </row>
    <row r="751">
      <c r="E751" s="126"/>
      <c r="F751" s="126"/>
      <c r="G751" s="126"/>
      <c r="H751" s="126"/>
    </row>
    <row r="752">
      <c r="E752" s="126"/>
      <c r="F752" s="126"/>
      <c r="G752" s="126"/>
      <c r="H752" s="126"/>
    </row>
    <row r="753">
      <c r="E753" s="126"/>
      <c r="F753" s="126"/>
      <c r="G753" s="126"/>
      <c r="H753" s="126"/>
    </row>
    <row r="754">
      <c r="E754" s="126"/>
      <c r="F754" s="126"/>
      <c r="G754" s="126"/>
      <c r="H754" s="126"/>
    </row>
    <row r="755">
      <c r="E755" s="126"/>
      <c r="F755" s="126"/>
      <c r="G755" s="126"/>
      <c r="H755" s="126"/>
    </row>
    <row r="756">
      <c r="E756" s="126"/>
      <c r="F756" s="126"/>
      <c r="G756" s="126"/>
      <c r="H756" s="126"/>
    </row>
    <row r="757">
      <c r="E757" s="126"/>
      <c r="F757" s="126"/>
      <c r="G757" s="126"/>
      <c r="H757" s="126"/>
    </row>
    <row r="758">
      <c r="E758" s="126"/>
      <c r="F758" s="126"/>
      <c r="G758" s="126"/>
      <c r="H758" s="126"/>
    </row>
    <row r="759">
      <c r="E759" s="126"/>
      <c r="F759" s="126"/>
      <c r="G759" s="126"/>
      <c r="H759" s="126"/>
    </row>
    <row r="760">
      <c r="E760" s="126"/>
      <c r="F760" s="126"/>
      <c r="G760" s="126"/>
      <c r="H760" s="126"/>
    </row>
    <row r="761">
      <c r="E761" s="126"/>
      <c r="F761" s="126"/>
      <c r="G761" s="126"/>
      <c r="H761" s="126"/>
    </row>
    <row r="762">
      <c r="E762" s="126"/>
      <c r="F762" s="126"/>
      <c r="G762" s="126"/>
      <c r="H762" s="126"/>
    </row>
    <row r="763">
      <c r="E763" s="126"/>
      <c r="F763" s="126"/>
      <c r="G763" s="126"/>
      <c r="H763" s="126"/>
    </row>
    <row r="764">
      <c r="E764" s="126"/>
      <c r="F764" s="126"/>
      <c r="G764" s="126"/>
      <c r="H764" s="126"/>
    </row>
    <row r="765">
      <c r="E765" s="126"/>
      <c r="F765" s="126"/>
      <c r="G765" s="126"/>
      <c r="H765" s="126"/>
    </row>
    <row r="766">
      <c r="E766" s="126"/>
      <c r="F766" s="126"/>
      <c r="G766" s="126"/>
      <c r="H766" s="126"/>
    </row>
    <row r="767">
      <c r="E767" s="126"/>
      <c r="F767" s="126"/>
      <c r="G767" s="126"/>
      <c r="H767" s="126"/>
    </row>
    <row r="768">
      <c r="E768" s="126"/>
      <c r="F768" s="126"/>
      <c r="G768" s="126"/>
      <c r="H768" s="126"/>
    </row>
    <row r="769">
      <c r="E769" s="126"/>
      <c r="F769" s="126"/>
      <c r="G769" s="126"/>
      <c r="H769" s="126"/>
    </row>
    <row r="770">
      <c r="E770" s="126"/>
      <c r="F770" s="126"/>
      <c r="G770" s="126"/>
      <c r="H770" s="126"/>
    </row>
    <row r="771">
      <c r="E771" s="126"/>
      <c r="F771" s="126"/>
      <c r="G771" s="126"/>
      <c r="H771" s="126"/>
    </row>
    <row r="772">
      <c r="E772" s="126"/>
      <c r="F772" s="126"/>
      <c r="G772" s="126"/>
      <c r="H772" s="126"/>
    </row>
    <row r="773">
      <c r="E773" s="126"/>
      <c r="F773" s="126"/>
      <c r="G773" s="126"/>
      <c r="H773" s="126"/>
    </row>
    <row r="774">
      <c r="E774" s="126"/>
      <c r="F774" s="126"/>
      <c r="G774" s="126"/>
      <c r="H774" s="126"/>
    </row>
    <row r="775">
      <c r="E775" s="126"/>
      <c r="F775" s="126"/>
      <c r="G775" s="126"/>
      <c r="H775" s="126"/>
    </row>
    <row r="776">
      <c r="E776" s="126"/>
      <c r="F776" s="126"/>
      <c r="G776" s="126"/>
      <c r="H776" s="126"/>
    </row>
    <row r="777">
      <c r="E777" s="126"/>
      <c r="F777" s="126"/>
      <c r="G777" s="126"/>
      <c r="H777" s="126"/>
    </row>
    <row r="778">
      <c r="E778" s="126"/>
      <c r="F778" s="126"/>
      <c r="G778" s="126"/>
      <c r="H778" s="126"/>
    </row>
    <row r="779">
      <c r="E779" s="126"/>
      <c r="F779" s="126"/>
      <c r="G779" s="126"/>
      <c r="H779" s="126"/>
    </row>
    <row r="780">
      <c r="E780" s="126"/>
      <c r="F780" s="126"/>
      <c r="G780" s="126"/>
      <c r="H780" s="126"/>
    </row>
    <row r="781">
      <c r="E781" s="126"/>
      <c r="F781" s="126"/>
      <c r="G781" s="126"/>
      <c r="H781" s="126"/>
    </row>
    <row r="782">
      <c r="E782" s="126"/>
      <c r="F782" s="126"/>
      <c r="G782" s="126"/>
      <c r="H782" s="126"/>
    </row>
    <row r="783">
      <c r="E783" s="126"/>
      <c r="F783" s="126"/>
      <c r="G783" s="126"/>
      <c r="H783" s="126"/>
    </row>
    <row r="784">
      <c r="E784" s="126"/>
      <c r="F784" s="126"/>
      <c r="G784" s="126"/>
      <c r="H784" s="126"/>
    </row>
    <row r="785">
      <c r="E785" s="126"/>
      <c r="F785" s="126"/>
      <c r="G785" s="126"/>
      <c r="H785" s="126"/>
    </row>
    <row r="786">
      <c r="E786" s="126"/>
      <c r="F786" s="126"/>
      <c r="G786" s="126"/>
      <c r="H786" s="126"/>
    </row>
    <row r="787">
      <c r="E787" s="126"/>
      <c r="F787" s="126"/>
      <c r="G787" s="126"/>
      <c r="H787" s="126"/>
    </row>
    <row r="788">
      <c r="E788" s="126"/>
      <c r="F788" s="126"/>
      <c r="G788" s="126"/>
      <c r="H788" s="126"/>
    </row>
    <row r="789">
      <c r="E789" s="126"/>
      <c r="F789" s="126"/>
      <c r="G789" s="126"/>
      <c r="H789" s="126"/>
    </row>
    <row r="790">
      <c r="E790" s="126"/>
      <c r="F790" s="126"/>
      <c r="G790" s="126"/>
      <c r="H790" s="126"/>
    </row>
    <row r="791">
      <c r="E791" s="126"/>
      <c r="F791" s="126"/>
      <c r="G791" s="126"/>
      <c r="H791" s="126"/>
    </row>
    <row r="792">
      <c r="E792" s="126"/>
      <c r="F792" s="126"/>
      <c r="G792" s="126"/>
      <c r="H792" s="126"/>
    </row>
    <row r="793">
      <c r="E793" s="126"/>
      <c r="F793" s="126"/>
      <c r="G793" s="126"/>
      <c r="H793" s="126"/>
    </row>
    <row r="794">
      <c r="E794" s="126"/>
      <c r="F794" s="126"/>
      <c r="G794" s="126"/>
      <c r="H794" s="126"/>
    </row>
    <row r="795">
      <c r="E795" s="126"/>
      <c r="F795" s="126"/>
      <c r="G795" s="126"/>
      <c r="H795" s="126"/>
    </row>
    <row r="796">
      <c r="E796" s="126"/>
      <c r="F796" s="126"/>
      <c r="G796" s="126"/>
      <c r="H796" s="126"/>
    </row>
    <row r="797">
      <c r="E797" s="126"/>
      <c r="F797" s="126"/>
      <c r="G797" s="126"/>
      <c r="H797" s="126"/>
    </row>
    <row r="798">
      <c r="E798" s="126"/>
      <c r="F798" s="126"/>
      <c r="G798" s="126"/>
      <c r="H798" s="126"/>
    </row>
    <row r="799">
      <c r="E799" s="126"/>
      <c r="F799" s="126"/>
      <c r="G799" s="126"/>
      <c r="H799" s="126"/>
    </row>
    <row r="800">
      <c r="E800" s="126"/>
      <c r="F800" s="126"/>
      <c r="G800" s="126"/>
      <c r="H800" s="126"/>
    </row>
    <row r="801">
      <c r="E801" s="126"/>
      <c r="F801" s="126"/>
      <c r="G801" s="126"/>
      <c r="H801" s="126"/>
    </row>
    <row r="802">
      <c r="E802" s="126"/>
      <c r="F802" s="126"/>
      <c r="G802" s="126"/>
      <c r="H802" s="126"/>
    </row>
    <row r="803">
      <c r="E803" s="126"/>
      <c r="F803" s="126"/>
      <c r="G803" s="126"/>
      <c r="H803" s="126"/>
    </row>
    <row r="804">
      <c r="E804" s="126"/>
      <c r="F804" s="126"/>
      <c r="G804" s="126"/>
      <c r="H804" s="126"/>
    </row>
    <row r="805">
      <c r="E805" s="126"/>
      <c r="F805" s="126"/>
      <c r="G805" s="126"/>
      <c r="H805" s="126"/>
    </row>
    <row r="806">
      <c r="E806" s="126"/>
      <c r="F806" s="126"/>
      <c r="G806" s="126"/>
      <c r="H806" s="126"/>
    </row>
    <row r="807">
      <c r="E807" s="126"/>
      <c r="F807" s="126"/>
      <c r="G807" s="126"/>
      <c r="H807" s="126"/>
    </row>
    <row r="808">
      <c r="E808" s="126"/>
      <c r="F808" s="126"/>
      <c r="G808" s="126"/>
      <c r="H808" s="126"/>
    </row>
    <row r="809">
      <c r="E809" s="126"/>
      <c r="F809" s="126"/>
      <c r="G809" s="126"/>
      <c r="H809" s="126"/>
    </row>
    <row r="810">
      <c r="E810" s="126"/>
      <c r="F810" s="126"/>
      <c r="G810" s="126"/>
      <c r="H810" s="126"/>
    </row>
    <row r="811">
      <c r="E811" s="126"/>
      <c r="F811" s="126"/>
      <c r="G811" s="126"/>
      <c r="H811" s="126"/>
    </row>
    <row r="812">
      <c r="E812" s="126"/>
      <c r="F812" s="126"/>
      <c r="G812" s="126"/>
      <c r="H812" s="126"/>
    </row>
    <row r="813">
      <c r="E813" s="126"/>
      <c r="F813" s="126"/>
      <c r="G813" s="126"/>
      <c r="H813" s="126"/>
    </row>
    <row r="814">
      <c r="E814" s="126"/>
      <c r="F814" s="126"/>
      <c r="G814" s="126"/>
      <c r="H814" s="126"/>
    </row>
    <row r="815">
      <c r="E815" s="126"/>
      <c r="F815" s="126"/>
      <c r="G815" s="126"/>
      <c r="H815" s="126"/>
    </row>
    <row r="816">
      <c r="E816" s="126"/>
      <c r="F816" s="126"/>
      <c r="G816" s="126"/>
      <c r="H816" s="126"/>
    </row>
    <row r="817">
      <c r="E817" s="126"/>
      <c r="F817" s="126"/>
      <c r="G817" s="126"/>
      <c r="H817" s="126"/>
    </row>
    <row r="818">
      <c r="E818" s="126"/>
      <c r="F818" s="126"/>
      <c r="G818" s="126"/>
      <c r="H818" s="126"/>
    </row>
    <row r="819">
      <c r="E819" s="126"/>
      <c r="F819" s="126"/>
      <c r="G819" s="126"/>
      <c r="H819" s="126"/>
    </row>
    <row r="820">
      <c r="E820" s="126"/>
      <c r="F820" s="126"/>
      <c r="G820" s="126"/>
      <c r="H820" s="126"/>
    </row>
    <row r="821">
      <c r="E821" s="126"/>
      <c r="F821" s="126"/>
      <c r="G821" s="126"/>
      <c r="H821" s="126"/>
    </row>
    <row r="822">
      <c r="E822" s="126"/>
      <c r="F822" s="126"/>
      <c r="G822" s="126"/>
      <c r="H822" s="126"/>
    </row>
    <row r="823">
      <c r="E823" s="126"/>
      <c r="F823" s="126"/>
      <c r="G823" s="126"/>
      <c r="H823" s="126"/>
    </row>
    <row r="824">
      <c r="E824" s="126"/>
      <c r="F824" s="126"/>
      <c r="G824" s="126"/>
      <c r="H824" s="126"/>
    </row>
    <row r="825">
      <c r="E825" s="126"/>
      <c r="F825" s="126"/>
      <c r="G825" s="126"/>
      <c r="H825" s="126"/>
    </row>
    <row r="826">
      <c r="E826" s="126"/>
      <c r="F826" s="126"/>
      <c r="G826" s="126"/>
      <c r="H826" s="126"/>
    </row>
    <row r="827">
      <c r="E827" s="126"/>
      <c r="F827" s="126"/>
      <c r="G827" s="126"/>
      <c r="H827" s="126"/>
    </row>
    <row r="828">
      <c r="E828" s="126"/>
      <c r="F828" s="126"/>
      <c r="G828" s="126"/>
      <c r="H828" s="126"/>
    </row>
    <row r="829">
      <c r="E829" s="126"/>
      <c r="F829" s="126"/>
      <c r="G829" s="126"/>
      <c r="H829" s="126"/>
    </row>
    <row r="830">
      <c r="E830" s="126"/>
      <c r="F830" s="126"/>
      <c r="G830" s="126"/>
      <c r="H830" s="126"/>
    </row>
    <row r="831">
      <c r="E831" s="126"/>
      <c r="F831" s="126"/>
      <c r="G831" s="126"/>
      <c r="H831" s="126"/>
    </row>
    <row r="832">
      <c r="E832" s="126"/>
      <c r="F832" s="126"/>
      <c r="G832" s="126"/>
      <c r="H832" s="126"/>
    </row>
    <row r="833">
      <c r="E833" s="126"/>
      <c r="F833" s="126"/>
      <c r="G833" s="126"/>
      <c r="H833" s="126"/>
    </row>
    <row r="834">
      <c r="E834" s="126"/>
      <c r="F834" s="126"/>
      <c r="G834" s="126"/>
      <c r="H834" s="126"/>
    </row>
    <row r="835">
      <c r="E835" s="126"/>
      <c r="F835" s="126"/>
      <c r="G835" s="126"/>
      <c r="H835" s="126"/>
    </row>
    <row r="836">
      <c r="E836" s="126"/>
      <c r="F836" s="126"/>
      <c r="G836" s="126"/>
      <c r="H836" s="126"/>
    </row>
    <row r="837">
      <c r="E837" s="126"/>
      <c r="F837" s="126"/>
      <c r="G837" s="126"/>
      <c r="H837" s="126"/>
    </row>
    <row r="838">
      <c r="E838" s="126"/>
      <c r="F838" s="126"/>
      <c r="G838" s="126"/>
      <c r="H838" s="126"/>
    </row>
    <row r="839">
      <c r="E839" s="126"/>
      <c r="F839" s="126"/>
      <c r="G839" s="126"/>
      <c r="H839" s="126"/>
    </row>
    <row r="840">
      <c r="E840" s="126"/>
      <c r="F840" s="126"/>
      <c r="G840" s="126"/>
      <c r="H840" s="126"/>
    </row>
    <row r="841">
      <c r="E841" s="126"/>
      <c r="F841" s="126"/>
      <c r="G841" s="126"/>
      <c r="H841" s="126"/>
    </row>
    <row r="842">
      <c r="E842" s="126"/>
      <c r="F842" s="126"/>
      <c r="G842" s="126"/>
      <c r="H842" s="126"/>
    </row>
    <row r="843">
      <c r="E843" s="126"/>
      <c r="F843" s="126"/>
      <c r="G843" s="126"/>
      <c r="H843" s="126"/>
    </row>
    <row r="844">
      <c r="E844" s="126"/>
      <c r="F844" s="126"/>
      <c r="G844" s="126"/>
      <c r="H844" s="126"/>
    </row>
    <row r="845">
      <c r="E845" s="126"/>
      <c r="F845" s="126"/>
      <c r="G845" s="126"/>
      <c r="H845" s="126"/>
    </row>
    <row r="846">
      <c r="E846" s="126"/>
      <c r="F846" s="126"/>
      <c r="G846" s="126"/>
      <c r="H846" s="126"/>
    </row>
    <row r="847">
      <c r="E847" s="126"/>
      <c r="F847" s="126"/>
      <c r="G847" s="126"/>
      <c r="H847" s="126"/>
    </row>
    <row r="848">
      <c r="E848" s="126"/>
      <c r="F848" s="126"/>
      <c r="G848" s="126"/>
      <c r="H848" s="126"/>
    </row>
    <row r="849">
      <c r="E849" s="126"/>
      <c r="F849" s="126"/>
      <c r="G849" s="126"/>
      <c r="H849" s="126"/>
    </row>
    <row r="850">
      <c r="E850" s="126"/>
      <c r="F850" s="126"/>
      <c r="G850" s="126"/>
      <c r="H850" s="126"/>
    </row>
    <row r="851">
      <c r="E851" s="126"/>
      <c r="F851" s="126"/>
      <c r="G851" s="126"/>
      <c r="H851" s="126"/>
    </row>
    <row r="852">
      <c r="E852" s="126"/>
      <c r="F852" s="126"/>
      <c r="G852" s="126"/>
      <c r="H852" s="126"/>
    </row>
    <row r="853">
      <c r="E853" s="126"/>
      <c r="F853" s="126"/>
      <c r="G853" s="126"/>
      <c r="H853" s="126"/>
    </row>
    <row r="854">
      <c r="E854" s="126"/>
      <c r="F854" s="126"/>
      <c r="G854" s="126"/>
      <c r="H854" s="126"/>
    </row>
    <row r="855">
      <c r="E855" s="126"/>
      <c r="F855" s="126"/>
      <c r="G855" s="126"/>
      <c r="H855" s="126"/>
    </row>
    <row r="856">
      <c r="E856" s="126"/>
      <c r="F856" s="126"/>
      <c r="G856" s="126"/>
      <c r="H856" s="126"/>
    </row>
    <row r="857">
      <c r="E857" s="126"/>
      <c r="F857" s="126"/>
      <c r="G857" s="126"/>
      <c r="H857" s="126"/>
    </row>
    <row r="858">
      <c r="E858" s="126"/>
      <c r="F858" s="126"/>
      <c r="G858" s="126"/>
      <c r="H858" s="126"/>
    </row>
    <row r="859">
      <c r="E859" s="126"/>
      <c r="F859" s="126"/>
      <c r="G859" s="126"/>
      <c r="H859" s="126"/>
    </row>
    <row r="860">
      <c r="E860" s="126"/>
      <c r="F860" s="126"/>
      <c r="G860" s="126"/>
      <c r="H860" s="126"/>
    </row>
    <row r="861">
      <c r="E861" s="126"/>
      <c r="F861" s="126"/>
      <c r="G861" s="126"/>
      <c r="H861" s="126"/>
    </row>
    <row r="862">
      <c r="E862" s="126"/>
      <c r="F862" s="126"/>
      <c r="G862" s="126"/>
      <c r="H862" s="126"/>
    </row>
    <row r="863">
      <c r="E863" s="126"/>
      <c r="F863" s="126"/>
      <c r="G863" s="126"/>
      <c r="H863" s="126"/>
    </row>
    <row r="864">
      <c r="E864" s="126"/>
      <c r="F864" s="126"/>
      <c r="G864" s="126"/>
      <c r="H864" s="126"/>
    </row>
    <row r="865">
      <c r="E865" s="126"/>
      <c r="F865" s="126"/>
      <c r="G865" s="126"/>
      <c r="H865" s="126"/>
    </row>
    <row r="866">
      <c r="E866" s="126"/>
      <c r="F866" s="126"/>
      <c r="G866" s="126"/>
      <c r="H866" s="126"/>
    </row>
    <row r="867">
      <c r="E867" s="126"/>
      <c r="F867" s="126"/>
      <c r="G867" s="126"/>
      <c r="H867" s="126"/>
    </row>
    <row r="868">
      <c r="E868" s="126"/>
      <c r="F868" s="126"/>
      <c r="G868" s="126"/>
      <c r="H868" s="126"/>
    </row>
    <row r="869">
      <c r="E869" s="126"/>
      <c r="F869" s="126"/>
      <c r="G869" s="126"/>
      <c r="H869" s="126"/>
    </row>
    <row r="870">
      <c r="E870" s="126"/>
      <c r="F870" s="126"/>
      <c r="G870" s="126"/>
      <c r="H870" s="126"/>
    </row>
    <row r="871">
      <c r="E871" s="126"/>
      <c r="F871" s="126"/>
      <c r="G871" s="126"/>
      <c r="H871" s="126"/>
    </row>
    <row r="872">
      <c r="E872" s="126"/>
      <c r="F872" s="126"/>
      <c r="G872" s="126"/>
      <c r="H872" s="126"/>
    </row>
    <row r="873">
      <c r="E873" s="126"/>
      <c r="F873" s="126"/>
      <c r="G873" s="126"/>
      <c r="H873" s="126"/>
    </row>
    <row r="874">
      <c r="E874" s="126"/>
      <c r="F874" s="126"/>
      <c r="G874" s="126"/>
      <c r="H874" s="126"/>
    </row>
    <row r="875">
      <c r="E875" s="126"/>
      <c r="F875" s="126"/>
      <c r="G875" s="126"/>
      <c r="H875" s="126"/>
    </row>
    <row r="876">
      <c r="E876" s="126"/>
      <c r="F876" s="126"/>
      <c r="G876" s="126"/>
      <c r="H876" s="126"/>
    </row>
    <row r="877">
      <c r="E877" s="126"/>
      <c r="F877" s="126"/>
      <c r="G877" s="126"/>
      <c r="H877" s="126"/>
    </row>
    <row r="878">
      <c r="E878" s="126"/>
      <c r="F878" s="126"/>
      <c r="G878" s="126"/>
      <c r="H878" s="126"/>
    </row>
    <row r="879">
      <c r="E879" s="126"/>
      <c r="F879" s="126"/>
      <c r="G879" s="126"/>
      <c r="H879" s="126"/>
    </row>
    <row r="880">
      <c r="E880" s="126"/>
      <c r="F880" s="126"/>
      <c r="G880" s="126"/>
      <c r="H880" s="126"/>
    </row>
    <row r="881">
      <c r="E881" s="126"/>
      <c r="F881" s="126"/>
      <c r="G881" s="126"/>
      <c r="H881" s="126"/>
    </row>
    <row r="882">
      <c r="E882" s="126"/>
      <c r="F882" s="126"/>
      <c r="G882" s="126"/>
      <c r="H882" s="126"/>
    </row>
    <row r="883">
      <c r="E883" s="126"/>
      <c r="F883" s="126"/>
      <c r="G883" s="126"/>
      <c r="H883" s="126"/>
    </row>
    <row r="884">
      <c r="E884" s="126"/>
      <c r="F884" s="126"/>
      <c r="G884" s="126"/>
      <c r="H884" s="126"/>
    </row>
    <row r="885">
      <c r="E885" s="126"/>
      <c r="F885" s="126"/>
      <c r="G885" s="126"/>
      <c r="H885" s="126"/>
    </row>
    <row r="886">
      <c r="E886" s="126"/>
      <c r="F886" s="126"/>
      <c r="G886" s="126"/>
      <c r="H886" s="126"/>
    </row>
    <row r="887">
      <c r="E887" s="126"/>
      <c r="F887" s="126"/>
      <c r="G887" s="126"/>
      <c r="H887" s="126"/>
    </row>
    <row r="888">
      <c r="E888" s="126"/>
      <c r="F888" s="126"/>
      <c r="G888" s="126"/>
      <c r="H888" s="126"/>
    </row>
    <row r="889">
      <c r="E889" s="126"/>
      <c r="F889" s="126"/>
      <c r="G889" s="126"/>
      <c r="H889" s="126"/>
    </row>
    <row r="890">
      <c r="E890" s="126"/>
      <c r="F890" s="126"/>
      <c r="G890" s="126"/>
      <c r="H890" s="126"/>
    </row>
    <row r="891">
      <c r="E891" s="126"/>
      <c r="F891" s="126"/>
      <c r="G891" s="126"/>
      <c r="H891" s="126"/>
    </row>
    <row r="892">
      <c r="E892" s="126"/>
      <c r="F892" s="126"/>
      <c r="G892" s="126"/>
      <c r="H892" s="126"/>
    </row>
    <row r="893">
      <c r="E893" s="126"/>
      <c r="F893" s="126"/>
      <c r="G893" s="126"/>
      <c r="H893" s="126"/>
    </row>
    <row r="894">
      <c r="E894" s="126"/>
      <c r="F894" s="126"/>
      <c r="G894" s="126"/>
      <c r="H894" s="126"/>
    </row>
    <row r="895">
      <c r="E895" s="126"/>
      <c r="F895" s="126"/>
      <c r="G895" s="126"/>
      <c r="H895" s="126"/>
    </row>
    <row r="896">
      <c r="E896" s="126"/>
      <c r="F896" s="126"/>
      <c r="G896" s="126"/>
      <c r="H896" s="126"/>
    </row>
    <row r="897">
      <c r="E897" s="126"/>
      <c r="F897" s="126"/>
      <c r="G897" s="126"/>
      <c r="H897" s="126"/>
    </row>
    <row r="898">
      <c r="E898" s="126"/>
      <c r="F898" s="126"/>
      <c r="G898" s="126"/>
      <c r="H898" s="126"/>
    </row>
    <row r="899">
      <c r="E899" s="126"/>
      <c r="F899" s="126"/>
      <c r="G899" s="126"/>
      <c r="H899" s="126"/>
    </row>
    <row r="900">
      <c r="E900" s="126"/>
      <c r="F900" s="126"/>
      <c r="G900" s="126"/>
      <c r="H900" s="126"/>
    </row>
    <row r="901">
      <c r="E901" s="126"/>
      <c r="F901" s="126"/>
      <c r="G901" s="126"/>
      <c r="H901" s="126"/>
    </row>
    <row r="902">
      <c r="E902" s="126"/>
      <c r="F902" s="126"/>
      <c r="G902" s="126"/>
      <c r="H902" s="126"/>
    </row>
    <row r="903">
      <c r="E903" s="126"/>
      <c r="F903" s="126"/>
      <c r="G903" s="126"/>
      <c r="H903" s="126"/>
    </row>
    <row r="904">
      <c r="E904" s="126"/>
      <c r="F904" s="126"/>
      <c r="G904" s="126"/>
      <c r="H904" s="126"/>
    </row>
    <row r="905">
      <c r="E905" s="126"/>
      <c r="F905" s="126"/>
      <c r="G905" s="126"/>
      <c r="H905" s="126"/>
    </row>
    <row r="906">
      <c r="E906" s="126"/>
      <c r="F906" s="126"/>
      <c r="G906" s="126"/>
      <c r="H906" s="126"/>
    </row>
    <row r="907">
      <c r="E907" s="126"/>
      <c r="F907" s="126"/>
      <c r="G907" s="126"/>
      <c r="H907" s="126"/>
    </row>
    <row r="908">
      <c r="E908" s="126"/>
      <c r="F908" s="126"/>
      <c r="G908" s="126"/>
      <c r="H908" s="126"/>
    </row>
    <row r="909">
      <c r="E909" s="126"/>
      <c r="F909" s="126"/>
      <c r="G909" s="126"/>
      <c r="H909" s="126"/>
    </row>
    <row r="910">
      <c r="E910" s="126"/>
      <c r="F910" s="126"/>
      <c r="G910" s="126"/>
      <c r="H910" s="126"/>
    </row>
    <row r="911">
      <c r="E911" s="126"/>
      <c r="F911" s="126"/>
      <c r="G911" s="126"/>
      <c r="H911" s="126"/>
    </row>
    <row r="912">
      <c r="E912" s="126"/>
      <c r="F912" s="126"/>
      <c r="G912" s="126"/>
      <c r="H912" s="126"/>
    </row>
    <row r="913">
      <c r="E913" s="126"/>
      <c r="F913" s="126"/>
      <c r="G913" s="126"/>
      <c r="H913" s="126"/>
    </row>
    <row r="914">
      <c r="E914" s="126"/>
      <c r="F914" s="126"/>
      <c r="G914" s="126"/>
      <c r="H914" s="126"/>
    </row>
    <row r="915">
      <c r="E915" s="126"/>
      <c r="F915" s="126"/>
      <c r="G915" s="126"/>
      <c r="H915" s="126"/>
    </row>
    <row r="916">
      <c r="E916" s="126"/>
      <c r="F916" s="126"/>
      <c r="G916" s="126"/>
      <c r="H916" s="126"/>
    </row>
    <row r="917">
      <c r="E917" s="126"/>
      <c r="F917" s="126"/>
      <c r="G917" s="126"/>
      <c r="H917" s="126"/>
    </row>
    <row r="918">
      <c r="E918" s="126"/>
      <c r="F918" s="126"/>
      <c r="G918" s="126"/>
      <c r="H918" s="126"/>
    </row>
    <row r="919">
      <c r="E919" s="126"/>
      <c r="F919" s="126"/>
      <c r="G919" s="126"/>
      <c r="H919" s="126"/>
    </row>
    <row r="920">
      <c r="E920" s="126"/>
      <c r="F920" s="126"/>
      <c r="G920" s="126"/>
      <c r="H920" s="126"/>
    </row>
    <row r="921">
      <c r="E921" s="126"/>
      <c r="F921" s="126"/>
      <c r="G921" s="126"/>
      <c r="H921" s="126"/>
    </row>
    <row r="922">
      <c r="E922" s="126"/>
      <c r="F922" s="126"/>
      <c r="G922" s="126"/>
      <c r="H922" s="126"/>
    </row>
    <row r="923">
      <c r="E923" s="126"/>
      <c r="F923" s="126"/>
      <c r="G923" s="126"/>
      <c r="H923" s="126"/>
    </row>
    <row r="924">
      <c r="E924" s="126"/>
      <c r="F924" s="126"/>
      <c r="G924" s="126"/>
      <c r="H924" s="126"/>
    </row>
    <row r="925">
      <c r="E925" s="126"/>
      <c r="F925" s="126"/>
      <c r="G925" s="126"/>
      <c r="H925" s="126"/>
    </row>
    <row r="926">
      <c r="E926" s="126"/>
      <c r="F926" s="126"/>
      <c r="G926" s="126"/>
      <c r="H926" s="126"/>
    </row>
    <row r="927">
      <c r="E927" s="126"/>
      <c r="F927" s="126"/>
      <c r="G927" s="126"/>
      <c r="H927" s="126"/>
    </row>
    <row r="928">
      <c r="E928" s="126"/>
      <c r="F928" s="126"/>
      <c r="G928" s="126"/>
      <c r="H928" s="126"/>
    </row>
    <row r="929">
      <c r="E929" s="126"/>
      <c r="F929" s="126"/>
      <c r="G929" s="126"/>
      <c r="H929" s="126"/>
    </row>
    <row r="930">
      <c r="E930" s="126"/>
      <c r="F930" s="126"/>
      <c r="G930" s="126"/>
      <c r="H930" s="126"/>
    </row>
    <row r="931">
      <c r="E931" s="126"/>
      <c r="F931" s="126"/>
      <c r="G931" s="126"/>
      <c r="H931" s="126"/>
    </row>
    <row r="932">
      <c r="E932" s="126"/>
      <c r="F932" s="126"/>
      <c r="G932" s="126"/>
      <c r="H932" s="126"/>
    </row>
    <row r="933">
      <c r="E933" s="126"/>
      <c r="F933" s="126"/>
      <c r="G933" s="126"/>
      <c r="H933" s="126"/>
    </row>
    <row r="934">
      <c r="E934" s="126"/>
      <c r="F934" s="126"/>
      <c r="G934" s="126"/>
      <c r="H934" s="126"/>
    </row>
    <row r="935">
      <c r="E935" s="126"/>
      <c r="F935" s="126"/>
      <c r="G935" s="126"/>
      <c r="H935" s="126"/>
    </row>
    <row r="936">
      <c r="E936" s="126"/>
      <c r="F936" s="126"/>
      <c r="G936" s="126"/>
      <c r="H936" s="126"/>
    </row>
    <row r="937">
      <c r="E937" s="126"/>
      <c r="F937" s="126"/>
      <c r="G937" s="126"/>
      <c r="H937" s="126"/>
    </row>
    <row r="938">
      <c r="E938" s="126"/>
      <c r="F938" s="126"/>
      <c r="G938" s="126"/>
      <c r="H938" s="126"/>
    </row>
    <row r="939">
      <c r="E939" s="126"/>
      <c r="F939" s="126"/>
      <c r="G939" s="126"/>
      <c r="H939" s="126"/>
    </row>
    <row r="940">
      <c r="E940" s="126"/>
      <c r="F940" s="126"/>
      <c r="G940" s="126"/>
      <c r="H940" s="126"/>
    </row>
    <row r="941">
      <c r="E941" s="126"/>
      <c r="F941" s="126"/>
      <c r="G941" s="126"/>
      <c r="H941" s="126"/>
    </row>
    <row r="942">
      <c r="E942" s="126"/>
      <c r="F942" s="126"/>
      <c r="G942" s="126"/>
      <c r="H942" s="126"/>
    </row>
    <row r="943">
      <c r="E943" s="126"/>
      <c r="F943" s="126"/>
      <c r="G943" s="126"/>
      <c r="H943" s="126"/>
    </row>
    <row r="944">
      <c r="E944" s="126"/>
      <c r="F944" s="126"/>
      <c r="G944" s="126"/>
      <c r="H944" s="126"/>
    </row>
    <row r="945">
      <c r="E945" s="126"/>
      <c r="F945" s="126"/>
      <c r="G945" s="126"/>
      <c r="H945" s="126"/>
    </row>
    <row r="946">
      <c r="E946" s="126"/>
      <c r="F946" s="126"/>
      <c r="G946" s="126"/>
      <c r="H946" s="126"/>
    </row>
    <row r="947">
      <c r="E947" s="126"/>
      <c r="F947" s="126"/>
      <c r="G947" s="126"/>
      <c r="H947" s="126"/>
    </row>
    <row r="948">
      <c r="E948" s="126"/>
      <c r="F948" s="126"/>
      <c r="G948" s="126"/>
      <c r="H948" s="126"/>
    </row>
    <row r="949">
      <c r="E949" s="126"/>
      <c r="F949" s="126"/>
      <c r="G949" s="126"/>
      <c r="H949" s="126"/>
    </row>
    <row r="950">
      <c r="E950" s="126"/>
      <c r="F950" s="126"/>
      <c r="G950" s="126"/>
      <c r="H950" s="126"/>
    </row>
    <row r="951">
      <c r="E951" s="126"/>
      <c r="F951" s="126"/>
      <c r="G951" s="126"/>
      <c r="H951" s="126"/>
    </row>
    <row r="952">
      <c r="E952" s="126"/>
      <c r="F952" s="126"/>
      <c r="G952" s="126"/>
      <c r="H952" s="126"/>
    </row>
    <row r="953">
      <c r="E953" s="126"/>
      <c r="F953" s="126"/>
      <c r="G953" s="126"/>
      <c r="H953" s="126"/>
    </row>
    <row r="954">
      <c r="E954" s="126"/>
      <c r="F954" s="126"/>
      <c r="G954" s="126"/>
      <c r="H954" s="126"/>
    </row>
    <row r="955">
      <c r="E955" s="126"/>
      <c r="F955" s="126"/>
      <c r="G955" s="126"/>
      <c r="H955" s="126"/>
    </row>
    <row r="956">
      <c r="E956" s="126"/>
      <c r="F956" s="126"/>
      <c r="G956" s="126"/>
      <c r="H956" s="126"/>
    </row>
    <row r="957">
      <c r="E957" s="126"/>
      <c r="F957" s="126"/>
      <c r="G957" s="126"/>
      <c r="H957" s="126"/>
    </row>
    <row r="958">
      <c r="E958" s="126"/>
      <c r="F958" s="126"/>
      <c r="G958" s="126"/>
      <c r="H958" s="126"/>
    </row>
    <row r="959">
      <c r="E959" s="126"/>
      <c r="F959" s="126"/>
      <c r="G959" s="126"/>
      <c r="H959" s="126"/>
    </row>
    <row r="960">
      <c r="E960" s="126"/>
      <c r="F960" s="126"/>
      <c r="G960" s="126"/>
      <c r="H960" s="126"/>
    </row>
    <row r="961">
      <c r="E961" s="126"/>
      <c r="F961" s="126"/>
      <c r="G961" s="126"/>
      <c r="H961" s="126"/>
    </row>
    <row r="962">
      <c r="E962" s="126"/>
      <c r="F962" s="126"/>
      <c r="G962" s="126"/>
      <c r="H962" s="126"/>
    </row>
    <row r="963">
      <c r="E963" s="126"/>
      <c r="F963" s="126"/>
      <c r="G963" s="126"/>
      <c r="H963" s="126"/>
    </row>
    <row r="964">
      <c r="E964" s="126"/>
      <c r="F964" s="126"/>
      <c r="G964" s="126"/>
      <c r="H964" s="126"/>
    </row>
    <row r="965">
      <c r="E965" s="126"/>
      <c r="F965" s="126"/>
      <c r="G965" s="126"/>
      <c r="H965" s="126"/>
    </row>
    <row r="966">
      <c r="E966" s="126"/>
      <c r="F966" s="126"/>
      <c r="G966" s="126"/>
      <c r="H966" s="126"/>
    </row>
    <row r="967">
      <c r="E967" s="126"/>
      <c r="F967" s="126"/>
      <c r="G967" s="126"/>
      <c r="H967" s="126"/>
    </row>
    <row r="968">
      <c r="E968" s="126"/>
      <c r="F968" s="126"/>
      <c r="G968" s="126"/>
      <c r="H968" s="126"/>
    </row>
    <row r="969">
      <c r="E969" s="126"/>
      <c r="F969" s="126"/>
      <c r="G969" s="126"/>
      <c r="H969" s="126"/>
    </row>
    <row r="970">
      <c r="E970" s="126"/>
      <c r="F970" s="126"/>
      <c r="G970" s="126"/>
      <c r="H970" s="126"/>
    </row>
    <row r="971">
      <c r="E971" s="126"/>
      <c r="F971" s="126"/>
      <c r="G971" s="126"/>
      <c r="H971" s="126"/>
    </row>
    <row r="972">
      <c r="E972" s="126"/>
      <c r="F972" s="126"/>
      <c r="G972" s="126"/>
      <c r="H972" s="126"/>
    </row>
    <row r="973">
      <c r="E973" s="126"/>
      <c r="F973" s="126"/>
      <c r="G973" s="126"/>
      <c r="H973" s="126"/>
    </row>
    <row r="974">
      <c r="E974" s="126"/>
      <c r="F974" s="126"/>
      <c r="G974" s="126"/>
      <c r="H974" s="126"/>
    </row>
    <row r="975">
      <c r="E975" s="126"/>
      <c r="F975" s="126"/>
      <c r="G975" s="126"/>
      <c r="H975" s="126"/>
    </row>
    <row r="976">
      <c r="E976" s="126"/>
      <c r="F976" s="126"/>
      <c r="G976" s="126"/>
      <c r="H976" s="126"/>
    </row>
    <row r="977">
      <c r="E977" s="126"/>
      <c r="F977" s="126"/>
      <c r="G977" s="126"/>
      <c r="H977" s="126"/>
    </row>
    <row r="978">
      <c r="E978" s="126"/>
      <c r="F978" s="126"/>
      <c r="G978" s="126"/>
      <c r="H978" s="126"/>
    </row>
    <row r="979">
      <c r="E979" s="126"/>
      <c r="F979" s="126"/>
      <c r="G979" s="126"/>
      <c r="H979" s="126"/>
    </row>
    <row r="980">
      <c r="E980" s="126"/>
      <c r="F980" s="126"/>
      <c r="G980" s="126"/>
      <c r="H980" s="126"/>
    </row>
    <row r="981">
      <c r="E981" s="126"/>
      <c r="F981" s="126"/>
      <c r="G981" s="126"/>
      <c r="H981" s="126"/>
    </row>
    <row r="982">
      <c r="E982" s="126"/>
      <c r="F982" s="126"/>
      <c r="G982" s="126"/>
      <c r="H982" s="126"/>
    </row>
    <row r="983">
      <c r="E983" s="126"/>
      <c r="F983" s="126"/>
      <c r="G983" s="126"/>
      <c r="H983" s="126"/>
    </row>
    <row r="984">
      <c r="E984" s="126"/>
      <c r="F984" s="126"/>
      <c r="G984" s="126"/>
      <c r="H984" s="126"/>
    </row>
    <row r="985">
      <c r="E985" s="126"/>
      <c r="F985" s="126"/>
      <c r="G985" s="126"/>
      <c r="H985" s="126"/>
    </row>
    <row r="986">
      <c r="E986" s="126"/>
      <c r="F986" s="126"/>
      <c r="G986" s="126"/>
      <c r="H986" s="126"/>
    </row>
    <row r="987">
      <c r="E987" s="126"/>
      <c r="F987" s="126"/>
      <c r="G987" s="126"/>
      <c r="H987" s="126"/>
    </row>
    <row r="988">
      <c r="E988" s="126"/>
      <c r="F988" s="126"/>
      <c r="G988" s="126"/>
      <c r="H988" s="126"/>
    </row>
    <row r="989">
      <c r="E989" s="126"/>
      <c r="F989" s="126"/>
      <c r="G989" s="126"/>
      <c r="H989" s="126"/>
    </row>
    <row r="990">
      <c r="E990" s="126"/>
      <c r="F990" s="126"/>
      <c r="G990" s="126"/>
      <c r="H990" s="126"/>
    </row>
    <row r="991">
      <c r="E991" s="126"/>
      <c r="F991" s="126"/>
      <c r="G991" s="126"/>
      <c r="H991" s="126"/>
    </row>
    <row r="992">
      <c r="E992" s="126"/>
      <c r="F992" s="126"/>
      <c r="G992" s="126"/>
      <c r="H992" s="126"/>
    </row>
    <row r="993">
      <c r="E993" s="126"/>
      <c r="F993" s="126"/>
      <c r="G993" s="126"/>
      <c r="H993" s="126"/>
    </row>
    <row r="994">
      <c r="E994" s="126"/>
      <c r="F994" s="126"/>
      <c r="G994" s="126"/>
      <c r="H994" s="126"/>
    </row>
    <row r="995">
      <c r="E995" s="126"/>
      <c r="F995" s="126"/>
      <c r="G995" s="126"/>
      <c r="H995" s="126"/>
    </row>
    <row r="996">
      <c r="E996" s="126"/>
      <c r="F996" s="126"/>
      <c r="G996" s="126"/>
      <c r="H996" s="126"/>
    </row>
    <row r="997">
      <c r="E997" s="126"/>
      <c r="F997" s="126"/>
      <c r="G997" s="126"/>
      <c r="H997" s="126"/>
    </row>
    <row r="998">
      <c r="E998" s="126"/>
      <c r="F998" s="126"/>
      <c r="G998" s="126"/>
      <c r="H998" s="12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2020-06-27T03:15:37Z</dcterms:created>
  <dc:creator>Brunna Shinomya</dc:creator>
</cp:coreProperties>
</file>